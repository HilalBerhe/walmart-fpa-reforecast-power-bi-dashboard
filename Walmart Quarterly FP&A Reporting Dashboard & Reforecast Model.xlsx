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ilal\Downloads\"/>
    </mc:Choice>
  </mc:AlternateContent>
  <xr:revisionPtr revIDLastSave="0" documentId="13_ncr:1_{9BD1361F-1BCA-456E-9920-6F017C9BCF89}" xr6:coauthVersionLast="47" xr6:coauthVersionMax="47" xr10:uidLastSave="{00000000-0000-0000-0000-000000000000}"/>
  <bookViews>
    <workbookView xWindow="-96" yWindow="0" windowWidth="11712" windowHeight="13776" firstSheet="1" activeTab="7" xr2:uid="{1152DD59-AA69-4737-978F-B2B16B03F48B}"/>
  </bookViews>
  <sheets>
    <sheet name="Cover Page" sheetId="1" r:id="rId1"/>
    <sheet name="Historicals " sheetId="2" r:id="rId2"/>
    <sheet name="Assumptions" sheetId="3" r:id="rId3"/>
    <sheet name="Budget" sheetId="4" r:id="rId4"/>
    <sheet name="Budget Variance Analysis" sheetId="5" r:id="rId5"/>
    <sheet name="Reforecast" sheetId="6" r:id="rId6"/>
    <sheet name="KPI Dashboard" sheetId="7" r:id="rId7"/>
    <sheet name="Power BI KPI" sheetId="8"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6" l="1"/>
  <c r="I5" i="6" s="1"/>
  <c r="E5" i="6"/>
  <c r="C5" i="4"/>
  <c r="G5" i="3"/>
  <c r="F5" i="3"/>
  <c r="G19" i="6"/>
  <c r="F19" i="6"/>
  <c r="E19" i="6"/>
  <c r="E20" i="6" s="1"/>
  <c r="I27" i="6"/>
  <c r="I17" i="6"/>
  <c r="I26" i="6"/>
  <c r="I25" i="6"/>
  <c r="I16" i="6"/>
  <c r="I14" i="6"/>
  <c r="I11" i="6"/>
  <c r="I10" i="6"/>
  <c r="I7" i="6"/>
  <c r="I6" i="6"/>
  <c r="H27" i="6"/>
  <c r="H17" i="6"/>
  <c r="H14" i="6"/>
  <c r="H26" i="6"/>
  <c r="H25" i="6"/>
  <c r="H16" i="6"/>
  <c r="H11" i="6"/>
  <c r="H10" i="6"/>
  <c r="H6" i="6"/>
  <c r="H7" i="6"/>
  <c r="E26" i="6"/>
  <c r="F26" i="6"/>
  <c r="G26" i="6"/>
  <c r="F25" i="6"/>
  <c r="G25" i="6"/>
  <c r="E25" i="6"/>
  <c r="F20" i="6"/>
  <c r="F22" i="6" s="1"/>
  <c r="F23" i="6" s="1"/>
  <c r="F17" i="6"/>
  <c r="G17" i="6"/>
  <c r="E17" i="6"/>
  <c r="E16" i="6"/>
  <c r="G16" i="6"/>
  <c r="F16" i="6"/>
  <c r="F14" i="6"/>
  <c r="G14" i="6"/>
  <c r="E14" i="6"/>
  <c r="F10" i="6"/>
  <c r="F11" i="6"/>
  <c r="G11" i="6"/>
  <c r="G10" i="6"/>
  <c r="E10" i="6"/>
  <c r="E11" i="6"/>
  <c r="F7" i="6"/>
  <c r="G7" i="6"/>
  <c r="F6" i="6"/>
  <c r="G6" i="6" s="1"/>
  <c r="E7" i="6"/>
  <c r="F5" i="6"/>
  <c r="G5" i="6"/>
  <c r="E6" i="6"/>
  <c r="E9" i="5"/>
  <c r="E8" i="5"/>
  <c r="E7" i="5"/>
  <c r="E6" i="5"/>
  <c r="E29" i="5"/>
  <c r="D12" i="5"/>
  <c r="E28" i="5"/>
  <c r="E27" i="5"/>
  <c r="E26" i="5"/>
  <c r="E24" i="5"/>
  <c r="E23" i="5"/>
  <c r="E22" i="5"/>
  <c r="E21" i="5"/>
  <c r="E20" i="5"/>
  <c r="E17" i="5"/>
  <c r="E15" i="5"/>
  <c r="E18" i="5"/>
  <c r="E16" i="5"/>
  <c r="E13" i="5"/>
  <c r="E12" i="5"/>
  <c r="E11" i="5"/>
  <c r="D28" i="5"/>
  <c r="D26" i="5"/>
  <c r="D23" i="5"/>
  <c r="D21" i="5"/>
  <c r="D20" i="5"/>
  <c r="D17" i="5"/>
  <c r="D15" i="5"/>
  <c r="D11" i="5"/>
  <c r="D8" i="5"/>
  <c r="D7" i="5"/>
  <c r="D6" i="5"/>
  <c r="C7" i="5"/>
  <c r="C6" i="5"/>
  <c r="C15" i="5" s="1"/>
  <c r="C27" i="4"/>
  <c r="C25" i="4"/>
  <c r="C23" i="4"/>
  <c r="C22" i="4"/>
  <c r="C20" i="4"/>
  <c r="C19" i="4"/>
  <c r="C16" i="4"/>
  <c r="C14" i="4"/>
  <c r="C11" i="4"/>
  <c r="C7" i="4"/>
  <c r="C6" i="4"/>
  <c r="D9" i="3"/>
  <c r="F9" i="3" s="1"/>
  <c r="G9" i="3" s="1"/>
  <c r="G11" i="3"/>
  <c r="F11" i="3"/>
  <c r="F10" i="3"/>
  <c r="C11" i="3"/>
  <c r="D11" i="3"/>
  <c r="E11" i="3"/>
  <c r="B11" i="3"/>
  <c r="C10" i="3"/>
  <c r="D10" i="3"/>
  <c r="E10" i="3"/>
  <c r="B10" i="3"/>
  <c r="G6" i="3"/>
  <c r="G7" i="3"/>
  <c r="G8" i="3"/>
  <c r="G10" i="3"/>
  <c r="F8" i="3"/>
  <c r="F7" i="3"/>
  <c r="C9" i="3"/>
  <c r="E9" i="3"/>
  <c r="B9" i="3"/>
  <c r="C8" i="3"/>
  <c r="D8" i="3"/>
  <c r="E8" i="3"/>
  <c r="B8" i="3"/>
  <c r="F6" i="3"/>
  <c r="C7" i="3"/>
  <c r="D7" i="3"/>
  <c r="E7" i="3"/>
  <c r="B7" i="3"/>
  <c r="C6" i="3"/>
  <c r="D6" i="3"/>
  <c r="E6" i="3"/>
  <c r="B6" i="3"/>
  <c r="C5" i="3"/>
  <c r="D5" i="3"/>
  <c r="E5" i="3"/>
  <c r="B5" i="3"/>
  <c r="C73" i="2"/>
  <c r="D73" i="2"/>
  <c r="E73" i="2"/>
  <c r="B73" i="2"/>
  <c r="C72" i="2"/>
  <c r="D72" i="2"/>
  <c r="E72" i="2"/>
  <c r="B72" i="2"/>
  <c r="C67" i="2"/>
  <c r="D67" i="2"/>
  <c r="E67" i="2"/>
  <c r="B67" i="2"/>
  <c r="C49" i="2"/>
  <c r="D49" i="2"/>
  <c r="E49" i="2"/>
  <c r="B49" i="2"/>
  <c r="C48" i="2"/>
  <c r="D48" i="2"/>
  <c r="E48" i="2"/>
  <c r="B48" i="2"/>
  <c r="C47" i="2"/>
  <c r="D47" i="2"/>
  <c r="E47" i="2"/>
  <c r="B47" i="2"/>
  <c r="C31" i="2"/>
  <c r="D31" i="2"/>
  <c r="E31" i="2"/>
  <c r="B31" i="2"/>
  <c r="C27" i="2"/>
  <c r="D27" i="2"/>
  <c r="E27" i="2"/>
  <c r="B27" i="2"/>
  <c r="C17" i="2"/>
  <c r="D17" i="2"/>
  <c r="E17" i="2"/>
  <c r="B17" i="2"/>
  <c r="C15" i="2"/>
  <c r="D15" i="2"/>
  <c r="E15" i="2"/>
  <c r="B15" i="2"/>
  <c r="C12" i="2"/>
  <c r="D12" i="2"/>
  <c r="E12" i="2"/>
  <c r="B12" i="2"/>
  <c r="C11" i="2"/>
  <c r="D11" i="2"/>
  <c r="E11" i="2"/>
  <c r="B11" i="2"/>
  <c r="D7" i="2"/>
  <c r="D8" i="2" s="1"/>
  <c r="C8" i="2"/>
  <c r="C7" i="2"/>
  <c r="E7" i="2"/>
  <c r="B7" i="2"/>
  <c r="H8" i="6" l="1"/>
  <c r="I8" i="6" s="1"/>
  <c r="H12" i="6"/>
  <c r="I12" i="6" s="1"/>
  <c r="H15" i="6"/>
  <c r="I15" i="6" s="1"/>
  <c r="G20" i="6"/>
  <c r="G22" i="6" s="1"/>
  <c r="G23" i="6" s="1"/>
  <c r="H20" i="6"/>
  <c r="E22" i="6"/>
  <c r="H19" i="6"/>
  <c r="I19" i="6" s="1"/>
  <c r="C8" i="5"/>
  <c r="C26" i="5" s="1"/>
  <c r="C12" i="5"/>
  <c r="C17" i="5" s="1"/>
  <c r="C20" i="5" s="1"/>
  <c r="E8" i="2"/>
  <c r="H22" i="6" l="1"/>
  <c r="E23" i="6"/>
  <c r="H21" i="6"/>
  <c r="I21" i="6" s="1"/>
  <c r="I20" i="6"/>
  <c r="C28" i="5"/>
  <c r="C21" i="5"/>
  <c r="C23" i="5" s="1"/>
  <c r="C24" i="5" s="1"/>
  <c r="H23" i="6" l="1"/>
  <c r="I23" i="6" s="1"/>
  <c r="I22" i="6"/>
</calcChain>
</file>

<file path=xl/sharedStrings.xml><?xml version="1.0" encoding="utf-8"?>
<sst xmlns="http://schemas.openxmlformats.org/spreadsheetml/2006/main" count="327" uniqueCount="121">
  <si>
    <t>Prepared by: Hilal S. Berhe</t>
  </si>
  <si>
    <t>Project Type: Financial Planning &amp; Analysis / Budget vs. Actual / Reforecasting</t>
  </si>
  <si>
    <t>Company: Walmart Inc.</t>
  </si>
  <si>
    <t>Data Source: Public company filings, investor relations materials, and earnings releases</t>
  </si>
  <si>
    <t>Currency: USD in millions, except per-share data if used</t>
  </si>
  <si>
    <t>Model Period: FY2022–FY2026E</t>
  </si>
  <si>
    <t>Purpose: To analyze Walmart’s quarterly financial performance</t>
  </si>
  <si>
    <t>Income Statement Historical Data</t>
  </si>
  <si>
    <t>USD $ millions, except per-share data</t>
  </si>
  <si>
    <t>FY2023A</t>
  </si>
  <si>
    <t>FY2024A</t>
  </si>
  <si>
    <t>FY2025A</t>
  </si>
  <si>
    <t>FY2026A</t>
  </si>
  <si>
    <t>Revenue</t>
  </si>
  <si>
    <t>Net Sales</t>
  </si>
  <si>
    <t>Membership &amp; Other Income</t>
  </si>
  <si>
    <t>Total Revenue</t>
  </si>
  <si>
    <t>Revenue Growth %</t>
  </si>
  <si>
    <t>Cost &amp; Gross Profit</t>
  </si>
  <si>
    <t>Cost of Sales / COGS</t>
  </si>
  <si>
    <t>Gross Profit</t>
  </si>
  <si>
    <t>Gross Margin %</t>
  </si>
  <si>
    <t>Operating Expenses</t>
  </si>
  <si>
    <t>SG&amp;A Expense</t>
  </si>
  <si>
    <t>SG&amp;A % of Net Sales</t>
  </si>
  <si>
    <t>Operating Income</t>
  </si>
  <si>
    <t>Operating Margin %</t>
  </si>
  <si>
    <t>Interest / Other</t>
  </si>
  <si>
    <t>Interest Expense — Debt</t>
  </si>
  <si>
    <t>Interest Expense — Finance Lease</t>
  </si>
  <si>
    <t>Interest Income</t>
  </si>
  <si>
    <t>Interest, Net</t>
  </si>
  <si>
    <t>Other Gains / Losses</t>
  </si>
  <si>
    <t>Income Before Taxes</t>
  </si>
  <si>
    <t>Taxes &amp; Net Income</t>
  </si>
  <si>
    <t>Income Tax Expense</t>
  </si>
  <si>
    <t>Effective Tax Rate %</t>
  </si>
  <si>
    <t>Consolidated Net Income</t>
  </si>
  <si>
    <t>Noncontrolling Interest Adjustment</t>
  </si>
  <si>
    <t>Net Income Attributable to Walmart</t>
  </si>
  <si>
    <t>Net Margin %</t>
  </si>
  <si>
    <t>Diluted EPS</t>
  </si>
  <si>
    <t>Diluted Shares Outstanding</t>
  </si>
  <si>
    <t>-</t>
  </si>
  <si>
    <t>Cash Flow Historical Data</t>
  </si>
  <si>
    <t>Cash Flow &amp; Free Cash Flow</t>
  </si>
  <si>
    <t>Depreciation &amp; Amortization</t>
  </si>
  <si>
    <t>Cash Flow from Operations</t>
  </si>
  <si>
    <t>CapEx / Payments for Property &amp; Equipment</t>
  </si>
  <si>
    <t>Free Cash Flow</t>
  </si>
  <si>
    <t>CapEx % of Revenue</t>
  </si>
  <si>
    <t>FCF Margin %</t>
  </si>
  <si>
    <t>Net Cash Used in Investing Activities</t>
  </si>
  <si>
    <t>Net Cash Used in Financing Activities</t>
  </si>
  <si>
    <t>Income Taxes Paid</t>
  </si>
  <si>
    <t>Interest Paid</t>
  </si>
  <si>
    <t>Segment Historical Data</t>
  </si>
  <si>
    <t>Segment Net Sales</t>
  </si>
  <si>
    <t>Walmart U.S. Net Sales</t>
  </si>
  <si>
    <t>Walmart International Net Sales</t>
  </si>
  <si>
    <t>Sam’s Club U.S. Net Sales</t>
  </si>
  <si>
    <t>Segment Net Sales Total</t>
  </si>
  <si>
    <t>Segment Operating Income</t>
  </si>
  <si>
    <t>Walmart U.S. Operating Income</t>
  </si>
  <si>
    <t>Walmart International Operating Income</t>
  </si>
  <si>
    <t>Sam’s Club U.S. Operating Income</t>
  </si>
  <si>
    <t>Segment Operating Income Total</t>
  </si>
  <si>
    <t>Corporate &amp; Support / Reconciliation</t>
  </si>
  <si>
    <t>FY2027 Budget Assumption</t>
  </si>
  <si>
    <t>Historical Average</t>
  </si>
  <si>
    <t>Driver</t>
  </si>
  <si>
    <t>Assumptions/ Budget Drivers</t>
  </si>
  <si>
    <t>FY2027 Budget</t>
  </si>
  <si>
    <t>Cash Flow</t>
  </si>
  <si>
    <t>CapEx</t>
  </si>
  <si>
    <t>FY2027 Budget vs FY2026A</t>
  </si>
  <si>
    <t>$Variance</t>
  </si>
  <si>
    <t>% / bps Variance</t>
  </si>
  <si>
    <t>FY2027 Reforecast</t>
  </si>
  <si>
    <t>Q1 FY2027 Actual</t>
  </si>
  <si>
    <t>Q3 FY2027 Forecast</t>
  </si>
  <si>
    <t>Q4 FY2027 Forecast</t>
  </si>
  <si>
    <t>Variance vs Budget</t>
  </si>
  <si>
    <t>Q2 FY2027 Forecast</t>
  </si>
  <si>
    <t>Table 1 - KPI Summary</t>
  </si>
  <si>
    <t>KPI</t>
  </si>
  <si>
    <t>Status</t>
  </si>
  <si>
    <t>Unfavorable</t>
  </si>
  <si>
    <t>Favorable</t>
  </si>
  <si>
    <t>Net Income</t>
  </si>
  <si>
    <t>11 bps</t>
  </si>
  <si>
    <t>9 bps</t>
  </si>
  <si>
    <t>25 bps</t>
  </si>
  <si>
    <t>-137 bps</t>
  </si>
  <si>
    <t>10 bps</t>
  </si>
  <si>
    <t>-85 bps</t>
  </si>
  <si>
    <t>Table 2 - Budget vs Reforecast Chart Data</t>
  </si>
  <si>
    <t>Metric</t>
  </si>
  <si>
    <t>Table 3 - Margin Comparison Chart Data</t>
  </si>
  <si>
    <t>Variance bps</t>
  </si>
  <si>
    <t>Table 4 - Variance Drivers</t>
  </si>
  <si>
    <t>Variance</t>
  </si>
  <si>
    <t>Impact</t>
  </si>
  <si>
    <t>Commentary</t>
  </si>
  <si>
    <t>Reforecast sales are below budget, reducing total revenue.</t>
  </si>
  <si>
    <t>Membership and other income is above budget.</t>
  </si>
  <si>
    <t>Gross Margin</t>
  </si>
  <si>
    <t>Reforecast gross margin is slightly stronger than budget.</t>
  </si>
  <si>
    <t>SG&amp;A is higher as a percentage of sales versus budget.</t>
  </si>
  <si>
    <t>Operating income is above budget despite lower revenue.</t>
  </si>
  <si>
    <t>Effective Tax Rate</t>
  </si>
  <si>
    <t>Lower tax rate supports net income.</t>
  </si>
  <si>
    <t>FCF is below budget due to weak Q1 cash flow performance.</t>
  </si>
  <si>
    <t>Sort Order</t>
  </si>
  <si>
    <t>Category</t>
  </si>
  <si>
    <t>Unit</t>
  </si>
  <si>
    <t>$ Millions</t>
  </si>
  <si>
    <t>Profitability</t>
  </si>
  <si>
    <t>Margin</t>
  </si>
  <si>
    <t>%</t>
  </si>
  <si>
    <t>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</si>
</sst>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quot;bps&quot;;\-0.0\ &quot;bps&quot;;0.0\ &quot;bps&quot;"/>
    <numFmt numFmtId="166" formatCode="0\ &quot;bps&quot;;\-0\ &quot;bps&quot;;0\ &quot;bps&quot;"/>
  </numFmts>
  <fonts count="20">
    <font>
      <sz val="11"/>
      <color theme="1"/>
      <name val="Calibri"/>
      <family val="2"/>
      <scheme val="minor"/>
    </font>
    <font>
      <sz val="11"/>
      <color theme="0"/>
      <name val="Calibri"/>
      <family val="2"/>
      <scheme val="minor"/>
    </font>
    <font>
      <sz val="12"/>
      <color theme="1"/>
      <name val="Calibri"/>
      <family val="2"/>
      <scheme val="minor"/>
    </font>
    <font>
      <sz val="11"/>
      <color theme="0" tint="-4.9989318521683403E-2"/>
      <name val="Forecast"/>
    </font>
    <font>
      <sz val="14"/>
      <color theme="0" tint="-4.9989318521683403E-2"/>
      <name val="Forecast"/>
    </font>
    <font>
      <sz val="20"/>
      <color theme="0" tint="-4.9989318521683403E-2"/>
      <name val="Calibri"/>
      <family val="2"/>
      <scheme val="minor"/>
    </font>
    <font>
      <b/>
      <sz val="18"/>
      <color theme="0"/>
      <name val="Neue Haas Grotesk Text Pro"/>
      <family val="2"/>
    </font>
    <font>
      <b/>
      <sz val="11"/>
      <color theme="5" tint="-0.249977111117893"/>
      <name val="Calibri"/>
      <family val="2"/>
      <scheme val="minor"/>
    </font>
    <font>
      <sz val="11"/>
      <color theme="5" tint="-0.249977111117893"/>
      <name val="Calibri"/>
      <family val="2"/>
      <scheme val="minor"/>
    </font>
    <font>
      <sz val="11"/>
      <color theme="4"/>
      <name val="Calibri"/>
      <family val="2"/>
      <scheme val="minor"/>
    </font>
    <font>
      <b/>
      <sz val="14"/>
      <color theme="1"/>
      <name val="Calibri"/>
      <family val="2"/>
      <scheme val="minor"/>
    </font>
    <font>
      <b/>
      <sz val="14"/>
      <name val="Calibri"/>
      <family val="2"/>
      <scheme val="minor"/>
    </font>
    <font>
      <sz val="11"/>
      <name val="Calibri"/>
      <family val="2"/>
      <scheme val="minor"/>
    </font>
    <font>
      <b/>
      <sz val="20"/>
      <color theme="0"/>
      <name val="Neue Haas Grotesk Text Pro"/>
      <family val="2"/>
    </font>
    <font>
      <b/>
      <sz val="11"/>
      <color theme="1"/>
      <name val="Calibri"/>
      <family val="2"/>
      <scheme val="minor"/>
    </font>
    <font>
      <b/>
      <sz val="12"/>
      <name val="Calibri"/>
      <family val="2"/>
      <scheme val="minor"/>
    </font>
    <font>
      <b/>
      <sz val="14"/>
      <color theme="5" tint="-0.249977111117893"/>
      <name val="Calibri"/>
      <family val="2"/>
      <scheme val="minor"/>
    </font>
    <font>
      <b/>
      <sz val="18"/>
      <color theme="5" tint="-0.249977111117893"/>
      <name val="Calibri"/>
      <family val="2"/>
      <scheme val="minor"/>
    </font>
    <font>
      <sz val="18"/>
      <color theme="1"/>
      <name val="Calibri"/>
      <family val="2"/>
      <scheme val="minor"/>
    </font>
    <font>
      <sz val="14"/>
      <color theme="0"/>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2">
    <xf numFmtId="0" fontId="0" fillId="0" borderId="0" xfId="0"/>
    <xf numFmtId="0" fontId="2" fillId="2" borderId="0" xfId="0" applyFont="1" applyFill="1"/>
    <xf numFmtId="0" fontId="0" fillId="2" borderId="0" xfId="0" applyFill="1"/>
    <xf numFmtId="0" fontId="0" fillId="3" borderId="0" xfId="0" applyFill="1"/>
    <xf numFmtId="0" fontId="3" fillId="3" borderId="0" xfId="0" applyFont="1" applyFill="1"/>
    <xf numFmtId="0" fontId="4" fillId="3" borderId="0" xfId="0" applyFont="1" applyFill="1"/>
    <xf numFmtId="0" fontId="5" fillId="3" borderId="0" xfId="0" applyFont="1" applyFill="1"/>
    <xf numFmtId="0" fontId="7" fillId="5" borderId="0" xfId="0" applyFont="1" applyFill="1" applyAlignment="1">
      <alignment wrapText="1"/>
    </xf>
    <xf numFmtId="0" fontId="7" fillId="5" borderId="0" xfId="0" applyFont="1" applyFill="1"/>
    <xf numFmtId="3" fontId="0" fillId="2" borderId="0" xfId="0" applyNumberFormat="1" applyFill="1"/>
    <xf numFmtId="0" fontId="8" fillId="2" borderId="0" xfId="0" applyFont="1" applyFill="1"/>
    <xf numFmtId="3" fontId="9" fillId="2" borderId="0" xfId="0" applyNumberFormat="1" applyFont="1" applyFill="1"/>
    <xf numFmtId="0" fontId="9" fillId="2" borderId="0" xfId="0" applyFont="1" applyFill="1"/>
    <xf numFmtId="0" fontId="8" fillId="2" borderId="0" xfId="0" applyFont="1" applyFill="1" applyAlignment="1">
      <alignment wrapText="1"/>
    </xf>
    <xf numFmtId="0" fontId="10" fillId="2" borderId="0" xfId="0" applyFont="1" applyFill="1"/>
    <xf numFmtId="10" fontId="0" fillId="2" borderId="0" xfId="0" applyNumberFormat="1" applyFill="1"/>
    <xf numFmtId="0" fontId="0" fillId="2" borderId="0" xfId="0" applyFill="1" applyAlignment="1">
      <alignment vertical="center" wrapText="1"/>
    </xf>
    <xf numFmtId="3" fontId="0" fillId="2" borderId="0" xfId="0" applyNumberFormat="1" applyFill="1" applyAlignment="1">
      <alignment vertical="center" wrapText="1"/>
    </xf>
    <xf numFmtId="0" fontId="8" fillId="2" borderId="0" xfId="0" applyFont="1" applyFill="1" applyAlignment="1">
      <alignment vertical="center" wrapText="1"/>
    </xf>
    <xf numFmtId="3" fontId="9" fillId="2" borderId="0" xfId="0" applyNumberFormat="1" applyFont="1" applyFill="1" applyAlignment="1">
      <alignment vertical="center" wrapText="1"/>
    </xf>
    <xf numFmtId="0" fontId="9" fillId="2" borderId="0" xfId="0" applyFont="1" applyFill="1" applyAlignment="1">
      <alignment vertical="center" wrapText="1"/>
    </xf>
    <xf numFmtId="10" fontId="0" fillId="2" borderId="0" xfId="0" applyNumberFormat="1" applyFill="1" applyAlignment="1">
      <alignment vertical="center" wrapText="1"/>
    </xf>
    <xf numFmtId="0" fontId="11" fillId="2" borderId="0" xfId="0" applyFont="1" applyFill="1" applyAlignment="1">
      <alignment vertical="center" wrapText="1"/>
    </xf>
    <xf numFmtId="3" fontId="12" fillId="2" borderId="0" xfId="0" applyNumberFormat="1" applyFont="1" applyFill="1" applyAlignment="1">
      <alignment vertical="center" wrapText="1"/>
    </xf>
    <xf numFmtId="0" fontId="1" fillId="4" borderId="0" xfId="0" applyFont="1" applyFill="1"/>
    <xf numFmtId="164" fontId="9" fillId="2" borderId="0" xfId="0" applyNumberFormat="1" applyFont="1" applyFill="1" applyAlignment="1">
      <alignment vertical="center" wrapText="1"/>
    </xf>
    <xf numFmtId="10" fontId="9" fillId="2" borderId="0" xfId="0" applyNumberFormat="1" applyFont="1" applyFill="1" applyAlignment="1">
      <alignment vertical="center" wrapText="1"/>
    </xf>
    <xf numFmtId="164" fontId="9" fillId="2" borderId="0" xfId="0" applyNumberFormat="1" applyFont="1" applyFill="1"/>
    <xf numFmtId="0" fontId="10" fillId="2" borderId="0" xfId="0" applyFont="1" applyFill="1" applyAlignment="1">
      <alignment vertical="center" wrapText="1"/>
    </xf>
    <xf numFmtId="1" fontId="12" fillId="2" borderId="0" xfId="0" applyNumberFormat="1" applyFont="1" applyFill="1" applyAlignment="1">
      <alignment vertical="center" wrapText="1"/>
    </xf>
    <xf numFmtId="164" fontId="12" fillId="2" borderId="0" xfId="0" applyNumberFormat="1" applyFont="1" applyFill="1" applyAlignment="1">
      <alignment vertical="center" wrapText="1"/>
    </xf>
    <xf numFmtId="10" fontId="9" fillId="5" borderId="0" xfId="0" applyNumberFormat="1" applyFont="1" applyFill="1" applyAlignment="1">
      <alignment vertical="center" wrapText="1"/>
    </xf>
    <xf numFmtId="164" fontId="12" fillId="5" borderId="0" xfId="0" applyNumberFormat="1" applyFont="1" applyFill="1" applyAlignment="1">
      <alignment vertical="center" wrapText="1"/>
    </xf>
    <xf numFmtId="2" fontId="7" fillId="5" borderId="0" xfId="0" applyNumberFormat="1" applyFont="1" applyFill="1"/>
    <xf numFmtId="2" fontId="0" fillId="2" borderId="0" xfId="0" applyNumberFormat="1" applyFill="1" applyAlignment="1">
      <alignment vertical="center" wrapText="1"/>
    </xf>
    <xf numFmtId="2" fontId="9" fillId="2" borderId="0" xfId="0" applyNumberFormat="1" applyFont="1" applyFill="1" applyAlignment="1">
      <alignment vertical="center" wrapText="1"/>
    </xf>
    <xf numFmtId="2" fontId="0" fillId="0" borderId="0" xfId="0" applyNumberFormat="1"/>
    <xf numFmtId="10" fontId="12" fillId="2" borderId="0" xfId="0" applyNumberFormat="1" applyFont="1" applyFill="1" applyAlignment="1">
      <alignment vertical="center" wrapText="1"/>
    </xf>
    <xf numFmtId="165" fontId="9" fillId="2" borderId="0" xfId="0" applyNumberFormat="1" applyFont="1" applyFill="1" applyAlignment="1">
      <alignment vertical="center" wrapText="1"/>
    </xf>
    <xf numFmtId="0" fontId="0" fillId="2" borderId="0" xfId="0" applyFill="1" applyAlignment="1">
      <alignment wrapText="1"/>
    </xf>
    <xf numFmtId="0" fontId="0" fillId="0" borderId="0" xfId="0" applyAlignment="1">
      <alignment wrapText="1"/>
    </xf>
    <xf numFmtId="3" fontId="0" fillId="2" borderId="0" xfId="0" applyNumberFormat="1" applyFill="1" applyAlignment="1">
      <alignment wrapText="1"/>
    </xf>
    <xf numFmtId="10" fontId="0" fillId="2" borderId="0" xfId="0" applyNumberFormat="1" applyFill="1" applyAlignment="1">
      <alignment wrapText="1"/>
    </xf>
    <xf numFmtId="0" fontId="15" fillId="2" borderId="0" xfId="0" applyFont="1" applyFill="1" applyAlignment="1">
      <alignment wrapText="1"/>
    </xf>
    <xf numFmtId="0" fontId="9" fillId="2" borderId="0" xfId="0" applyFont="1" applyFill="1" applyAlignment="1">
      <alignment wrapText="1"/>
    </xf>
    <xf numFmtId="3" fontId="9" fillId="2" borderId="0" xfId="0" applyNumberFormat="1" applyFont="1" applyFill="1" applyAlignment="1">
      <alignment wrapText="1"/>
    </xf>
    <xf numFmtId="10" fontId="9" fillId="2" borderId="0" xfId="0" applyNumberFormat="1" applyFont="1" applyFill="1" applyAlignment="1">
      <alignment wrapText="1"/>
    </xf>
    <xf numFmtId="0" fontId="9" fillId="0" borderId="0" xfId="0" applyFont="1"/>
    <xf numFmtId="164" fontId="0" fillId="2" borderId="0" xfId="0" applyNumberFormat="1" applyFill="1"/>
    <xf numFmtId="166" fontId="0" fillId="2" borderId="0" xfId="0" applyNumberFormat="1" applyFill="1"/>
    <xf numFmtId="10" fontId="9" fillId="2" borderId="0" xfId="0" applyNumberFormat="1" applyFont="1" applyFill="1"/>
    <xf numFmtId="3" fontId="9" fillId="2" borderId="0" xfId="0" applyNumberFormat="1" applyFont="1" applyFill="1" applyAlignment="1">
      <alignment horizontal="right"/>
    </xf>
    <xf numFmtId="0" fontId="9" fillId="2" borderId="0" xfId="0" applyFont="1" applyFill="1" applyAlignment="1">
      <alignment horizontal="right"/>
    </xf>
    <xf numFmtId="0" fontId="13" fillId="0" borderId="0" xfId="0" applyFont="1"/>
    <xf numFmtId="0" fontId="7" fillId="0" borderId="0" xfId="0" applyFont="1" applyAlignment="1">
      <alignment wrapText="1"/>
    </xf>
    <xf numFmtId="0" fontId="8" fillId="0" borderId="0" xfId="0" applyFont="1"/>
    <xf numFmtId="3" fontId="9" fillId="0" borderId="0" xfId="0" applyNumberFormat="1" applyFont="1"/>
    <xf numFmtId="3" fontId="9" fillId="0" borderId="0" xfId="0" applyNumberFormat="1" applyFont="1" applyAlignment="1">
      <alignment horizontal="right"/>
    </xf>
    <xf numFmtId="0" fontId="9" fillId="0" borderId="0" xfId="0" applyFont="1" applyAlignment="1">
      <alignment horizontal="right"/>
    </xf>
    <xf numFmtId="10" fontId="9" fillId="0" borderId="0" xfId="0" applyNumberFormat="1" applyFont="1"/>
    <xf numFmtId="164" fontId="9" fillId="2" borderId="0" xfId="0" applyNumberFormat="1" applyFont="1" applyFill="1" applyAlignment="1">
      <alignment horizontal="right"/>
    </xf>
    <xf numFmtId="0" fontId="17" fillId="0" borderId="0" xfId="0" applyFont="1"/>
    <xf numFmtId="0" fontId="18" fillId="0" borderId="0" xfId="0" applyFont="1"/>
    <xf numFmtId="0" fontId="14" fillId="0" borderId="0" xfId="0" applyFont="1"/>
    <xf numFmtId="0" fontId="13" fillId="4" borderId="0" xfId="0" applyFont="1" applyFill="1" applyAlignment="1">
      <alignment horizontal="center" wrapText="1"/>
    </xf>
    <xf numFmtId="0" fontId="16" fillId="5" borderId="0" xfId="0" applyFont="1" applyFill="1" applyAlignment="1">
      <alignment horizontal="center" wrapText="1"/>
    </xf>
    <xf numFmtId="0" fontId="13" fillId="4" borderId="0" xfId="0" applyFont="1" applyFill="1" applyAlignment="1">
      <alignment horizontal="center"/>
    </xf>
    <xf numFmtId="0" fontId="6" fillId="4" borderId="0" xfId="0" applyFont="1" applyFill="1" applyAlignment="1">
      <alignment horizontal="center"/>
    </xf>
    <xf numFmtId="0" fontId="1" fillId="4" borderId="0" xfId="0" applyFont="1" applyFill="1" applyAlignment="1">
      <alignment horizontal="center"/>
    </xf>
    <xf numFmtId="0" fontId="19" fillId="4" borderId="0" xfId="0" applyFont="1" applyFill="1"/>
    <xf numFmtId="3" fontId="8" fillId="6" borderId="0" xfId="0" applyNumberFormat="1" applyFont="1" applyFill="1"/>
    <xf numFmtId="3" fontId="9" fillId="6" borderId="0" xfId="0" applyNumberFormat="1" applyFont="1" applyFill="1"/>
    <xf numFmtId="3" fontId="0" fillId="0" borderId="0" xfId="0" applyNumberFormat="1"/>
    <xf numFmtId="3" fontId="8" fillId="2" borderId="0" xfId="0" applyNumberFormat="1" applyFont="1" applyFill="1"/>
    <xf numFmtId="9" fontId="8" fillId="6" borderId="0" xfId="0" applyNumberFormat="1" applyFont="1" applyFill="1"/>
    <xf numFmtId="9" fontId="9" fillId="6" borderId="0" xfId="0" applyNumberFormat="1" applyFont="1" applyFill="1"/>
    <xf numFmtId="9" fontId="0" fillId="0" borderId="0" xfId="0" applyNumberFormat="1"/>
    <xf numFmtId="9" fontId="8" fillId="2" borderId="0" xfId="0" applyNumberFormat="1" applyFont="1" applyFill="1"/>
    <xf numFmtId="9" fontId="9" fillId="2" borderId="0" xfId="0" applyNumberFormat="1" applyFont="1" applyFill="1"/>
    <xf numFmtId="1" fontId="8" fillId="6" borderId="0" xfId="0" applyNumberFormat="1" applyFont="1" applyFill="1"/>
    <xf numFmtId="1" fontId="8" fillId="2" borderId="0" xfId="0" applyNumberFormat="1" applyFont="1" applyFill="1"/>
    <xf numFmtId="164" fontId="9" fillId="6" borderId="0" xfId="0" applyNumberFormat="1" applyFont="1" applyFill="1"/>
  </cellXfs>
  <cellStyles count="1">
    <cellStyle name="Normal" xfId="0" builtinId="0"/>
  </cellStyles>
  <dxfs count="11">
    <dxf>
      <font>
        <b val="0"/>
        <i val="0"/>
        <strike val="0"/>
        <condense val="0"/>
        <extend val="0"/>
        <outline val="0"/>
        <shadow val="0"/>
        <u val="none"/>
        <vertAlign val="baseline"/>
        <sz val="14"/>
        <color theme="0"/>
        <name val="Calibri"/>
        <family val="2"/>
        <scheme val="minor"/>
      </font>
      <fill>
        <patternFill patternType="solid">
          <fgColor indexed="64"/>
          <bgColor theme="5" tint="-0.249977111117893"/>
        </patternFill>
      </fill>
    </dxf>
    <dxf>
      <font>
        <b val="0"/>
        <i val="0"/>
        <strike val="0"/>
        <condense val="0"/>
        <extend val="0"/>
        <outline val="0"/>
        <shadow val="0"/>
        <u val="none"/>
        <vertAlign val="baseline"/>
        <sz val="11"/>
        <color theme="4"/>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4"/>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4"/>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4"/>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4"/>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4"/>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5" tint="-0.249977111117893"/>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5" tint="-0.249977111117893"/>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5" tint="-0.249977111117893"/>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5" tint="-0.249977111117893"/>
        <name val="Calibri"/>
        <family val="2"/>
        <scheme val="minor"/>
      </font>
      <fill>
        <patternFill patternType="solid">
          <fgColor indexed="64"/>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KPI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Dashboard'!$B$7</c:f>
              <c:strCache>
                <c:ptCount val="1"/>
                <c:pt idx="0">
                  <c:v>FY2027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Dashboard'!$A$13:$A$18</c:f>
              <c:strCache>
                <c:ptCount val="6"/>
                <c:pt idx="0">
                  <c:v>Gross Margin %</c:v>
                </c:pt>
                <c:pt idx="1">
                  <c:v>SG&amp;A % of Net Sales</c:v>
                </c:pt>
                <c:pt idx="2">
                  <c:v>Operating Margin %</c:v>
                </c:pt>
                <c:pt idx="3">
                  <c:v>Effective Tax Rate %</c:v>
                </c:pt>
                <c:pt idx="4">
                  <c:v>Net Margin %</c:v>
                </c:pt>
                <c:pt idx="5">
                  <c:v>FCF Margin %</c:v>
                </c:pt>
              </c:strCache>
            </c:strRef>
          </c:cat>
          <c:val>
            <c:numRef>
              <c:f>'KPI Dashboard'!$B$13:$B$18</c:f>
              <c:numCache>
                <c:formatCode>0.00%</c:formatCode>
                <c:ptCount val="6"/>
                <c:pt idx="0">
                  <c:v>0.23899999999999999</c:v>
                </c:pt>
                <c:pt idx="1">
                  <c:v>0.20799999999999999</c:v>
                </c:pt>
                <c:pt idx="2">
                  <c:v>0.04</c:v>
                </c:pt>
                <c:pt idx="3">
                  <c:v>0.26700000000000002</c:v>
                </c:pt>
                <c:pt idx="4">
                  <c:v>2.9100000000000001E-2</c:v>
                </c:pt>
                <c:pt idx="5">
                  <c:v>2.1000000000000001E-2</c:v>
                </c:pt>
              </c:numCache>
            </c:numRef>
          </c:val>
          <c:extLst>
            <c:ext xmlns:c16="http://schemas.microsoft.com/office/drawing/2014/chart" uri="{C3380CC4-5D6E-409C-BE32-E72D297353CC}">
              <c16:uniqueId val="{00000000-E49A-49EA-A47E-B3FAA88CF55B}"/>
            </c:ext>
          </c:extLst>
        </c:ser>
        <c:ser>
          <c:idx val="1"/>
          <c:order val="1"/>
          <c:tx>
            <c:strRef>
              <c:f>'KPI Dashboard'!$C$7</c:f>
              <c:strCache>
                <c:ptCount val="1"/>
                <c:pt idx="0">
                  <c:v>FY2027 Reforecast</c:v>
                </c:pt>
              </c:strCache>
            </c:strRef>
          </c:tx>
          <c:spPr>
            <a:solidFill>
              <a:schemeClr val="accent2"/>
            </a:solidFill>
            <a:ln>
              <a:noFill/>
            </a:ln>
            <a:effectLst/>
          </c:spPr>
          <c:invertIfNegative val="0"/>
          <c:dLbls>
            <c:delete val="1"/>
          </c:dLbls>
          <c:cat>
            <c:strRef>
              <c:f>'KPI Dashboard'!$A$13:$A$18</c:f>
              <c:strCache>
                <c:ptCount val="6"/>
                <c:pt idx="0">
                  <c:v>Gross Margin %</c:v>
                </c:pt>
                <c:pt idx="1">
                  <c:v>SG&amp;A % of Net Sales</c:v>
                </c:pt>
                <c:pt idx="2">
                  <c:v>Operating Margin %</c:v>
                </c:pt>
                <c:pt idx="3">
                  <c:v>Effective Tax Rate %</c:v>
                </c:pt>
                <c:pt idx="4">
                  <c:v>Net Margin %</c:v>
                </c:pt>
                <c:pt idx="5">
                  <c:v>FCF Margin %</c:v>
                </c:pt>
              </c:strCache>
            </c:strRef>
          </c:cat>
          <c:val>
            <c:numRef>
              <c:f>'KPI Dashboard'!$C$13:$C$18</c:f>
              <c:numCache>
                <c:formatCode>0.00%</c:formatCode>
                <c:ptCount val="6"/>
                <c:pt idx="0">
                  <c:v>0.24010000000000001</c:v>
                </c:pt>
                <c:pt idx="1">
                  <c:v>0.2089</c:v>
                </c:pt>
                <c:pt idx="2">
                  <c:v>4.2500000000000003E-2</c:v>
                </c:pt>
                <c:pt idx="3">
                  <c:v>0.25330000000000003</c:v>
                </c:pt>
                <c:pt idx="4">
                  <c:v>3.0099999999999998E-2</c:v>
                </c:pt>
                <c:pt idx="5">
                  <c:v>1.2500000000000001E-2</c:v>
                </c:pt>
              </c:numCache>
            </c:numRef>
          </c:val>
          <c:extLst>
            <c:ext xmlns:c16="http://schemas.microsoft.com/office/drawing/2014/chart" uri="{C3380CC4-5D6E-409C-BE32-E72D297353CC}">
              <c16:uniqueId val="{00000001-E49A-49EA-A47E-B3FAA88CF55B}"/>
            </c:ext>
          </c:extLst>
        </c:ser>
        <c:dLbls>
          <c:dLblPos val="outEnd"/>
          <c:showLegendKey val="0"/>
          <c:showVal val="1"/>
          <c:showCatName val="0"/>
          <c:showSerName val="0"/>
          <c:showPercent val="0"/>
          <c:showBubbleSize val="0"/>
        </c:dLbls>
        <c:gapWidth val="219"/>
        <c:overlap val="-27"/>
        <c:axId val="1093996912"/>
        <c:axId val="1093994992"/>
      </c:barChart>
      <c:catAx>
        <c:axId val="10939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94992"/>
        <c:crosses val="autoZero"/>
        <c:auto val="1"/>
        <c:lblAlgn val="ctr"/>
        <c:lblOffset val="100"/>
        <c:noMultiLvlLbl val="0"/>
      </c:catAx>
      <c:valAx>
        <c:axId val="1093994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9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Reforecast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Dashboard'!$B$26</c:f>
              <c:strCache>
                <c:ptCount val="1"/>
                <c:pt idx="0">
                  <c:v>FY2027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Dashboard'!$A$27:$A$30</c:f>
              <c:strCache>
                <c:ptCount val="4"/>
                <c:pt idx="0">
                  <c:v>Total Revenue</c:v>
                </c:pt>
                <c:pt idx="1">
                  <c:v>Operating Income</c:v>
                </c:pt>
                <c:pt idx="2">
                  <c:v>Net Income</c:v>
                </c:pt>
                <c:pt idx="3">
                  <c:v>Free Cash Flow</c:v>
                </c:pt>
              </c:strCache>
            </c:strRef>
          </c:cat>
          <c:val>
            <c:numRef>
              <c:f>'KPI Dashboard'!$B$27:$B$30</c:f>
              <c:numCache>
                <c:formatCode>#,##0</c:formatCode>
                <c:ptCount val="4"/>
                <c:pt idx="0">
                  <c:v>750961</c:v>
                </c:pt>
                <c:pt idx="1">
                  <c:v>30167</c:v>
                </c:pt>
                <c:pt idx="2">
                  <c:v>21852</c:v>
                </c:pt>
                <c:pt idx="3">
                  <c:v>15770</c:v>
                </c:pt>
              </c:numCache>
            </c:numRef>
          </c:val>
          <c:extLst>
            <c:ext xmlns:c16="http://schemas.microsoft.com/office/drawing/2014/chart" uri="{C3380CC4-5D6E-409C-BE32-E72D297353CC}">
              <c16:uniqueId val="{00000000-4B9F-4597-8A92-566690DBEB09}"/>
            </c:ext>
          </c:extLst>
        </c:ser>
        <c:ser>
          <c:idx val="1"/>
          <c:order val="1"/>
          <c:tx>
            <c:strRef>
              <c:f>'KPI Dashboard'!$C$26</c:f>
              <c:strCache>
                <c:ptCount val="1"/>
                <c:pt idx="0">
                  <c:v>FY2027 Reforecast</c:v>
                </c:pt>
              </c:strCache>
            </c:strRef>
          </c:tx>
          <c:spPr>
            <a:solidFill>
              <a:schemeClr val="accent2"/>
            </a:solidFill>
            <a:ln>
              <a:noFill/>
            </a:ln>
            <a:effectLst/>
          </c:spPr>
          <c:invertIfNegative val="0"/>
          <c:dLbls>
            <c:delete val="1"/>
          </c:dLbls>
          <c:cat>
            <c:strRef>
              <c:f>'KPI Dashboard'!$A$27:$A$30</c:f>
              <c:strCache>
                <c:ptCount val="4"/>
                <c:pt idx="0">
                  <c:v>Total Revenue</c:v>
                </c:pt>
                <c:pt idx="1">
                  <c:v>Operating Income</c:v>
                </c:pt>
                <c:pt idx="2">
                  <c:v>Net Income</c:v>
                </c:pt>
                <c:pt idx="3">
                  <c:v>Free Cash Flow</c:v>
                </c:pt>
              </c:strCache>
            </c:strRef>
          </c:cat>
          <c:val>
            <c:numRef>
              <c:f>'KPI Dashboard'!$C$27:$C$30</c:f>
              <c:numCache>
                <c:formatCode>#,##0</c:formatCode>
                <c:ptCount val="4"/>
                <c:pt idx="0">
                  <c:v>731709</c:v>
                </c:pt>
                <c:pt idx="1">
                  <c:v>31094</c:v>
                </c:pt>
                <c:pt idx="2">
                  <c:v>22027</c:v>
                </c:pt>
                <c:pt idx="3">
                  <c:v>9170</c:v>
                </c:pt>
              </c:numCache>
            </c:numRef>
          </c:val>
          <c:extLst>
            <c:ext xmlns:c16="http://schemas.microsoft.com/office/drawing/2014/chart" uri="{C3380CC4-5D6E-409C-BE32-E72D297353CC}">
              <c16:uniqueId val="{00000001-4B9F-4597-8A92-566690DBEB09}"/>
            </c:ext>
          </c:extLst>
        </c:ser>
        <c:dLbls>
          <c:dLblPos val="outEnd"/>
          <c:showLegendKey val="0"/>
          <c:showVal val="1"/>
          <c:showCatName val="0"/>
          <c:showSerName val="0"/>
          <c:showPercent val="0"/>
          <c:showBubbleSize val="0"/>
        </c:dLbls>
        <c:gapWidth val="219"/>
        <c:overlap val="-27"/>
        <c:axId val="1476435584"/>
        <c:axId val="1476447104"/>
      </c:barChart>
      <c:catAx>
        <c:axId val="147643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47104"/>
        <c:crosses val="autoZero"/>
        <c:auto val="1"/>
        <c:lblAlgn val="ctr"/>
        <c:lblOffset val="100"/>
        <c:noMultiLvlLbl val="0"/>
      </c:catAx>
      <c:valAx>
        <c:axId val="1476447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r>
                  <a:rPr lang="en-US" baseline="0"/>
                  <a:t> $ Millions </a:t>
                </a:r>
                <a:endParaRPr lang="en-US"/>
              </a:p>
            </c:rich>
          </c:tx>
          <c:layout>
            <c:manualLayout>
              <c:xMode val="edge"/>
              <c:yMode val="edge"/>
              <c:x val="3.2051282051282048E-2"/>
              <c:y val="0.300114531138153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3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Dashboard'!$B$39</c:f>
              <c:strCache>
                <c:ptCount val="1"/>
                <c:pt idx="0">
                  <c:v>FY2027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Dashboard'!$A$40:$A$44</c:f>
              <c:strCache>
                <c:ptCount val="5"/>
                <c:pt idx="0">
                  <c:v>Gross Margin %</c:v>
                </c:pt>
                <c:pt idx="1">
                  <c:v>SG&amp;A % of Net Sales</c:v>
                </c:pt>
                <c:pt idx="2">
                  <c:v>Operating Margin %</c:v>
                </c:pt>
                <c:pt idx="3">
                  <c:v>Net Margin %</c:v>
                </c:pt>
                <c:pt idx="4">
                  <c:v>FCF Margin %</c:v>
                </c:pt>
              </c:strCache>
            </c:strRef>
          </c:cat>
          <c:val>
            <c:numRef>
              <c:f>'KPI Dashboard'!$B$40:$B$44</c:f>
              <c:numCache>
                <c:formatCode>0.0%</c:formatCode>
                <c:ptCount val="5"/>
                <c:pt idx="0">
                  <c:v>0.23899999999999999</c:v>
                </c:pt>
                <c:pt idx="1">
                  <c:v>0.20799999999999999</c:v>
                </c:pt>
                <c:pt idx="2">
                  <c:v>0.04</c:v>
                </c:pt>
                <c:pt idx="3">
                  <c:v>2.9100000000000001E-2</c:v>
                </c:pt>
                <c:pt idx="4" formatCode="0.00%">
                  <c:v>2.1000000000000001E-2</c:v>
                </c:pt>
              </c:numCache>
            </c:numRef>
          </c:val>
          <c:extLst>
            <c:ext xmlns:c16="http://schemas.microsoft.com/office/drawing/2014/chart" uri="{C3380CC4-5D6E-409C-BE32-E72D297353CC}">
              <c16:uniqueId val="{00000000-9509-4FD6-A905-EE4CE3B8879B}"/>
            </c:ext>
          </c:extLst>
        </c:ser>
        <c:ser>
          <c:idx val="1"/>
          <c:order val="1"/>
          <c:tx>
            <c:strRef>
              <c:f>'KPI Dashboard'!$C$39</c:f>
              <c:strCache>
                <c:ptCount val="1"/>
                <c:pt idx="0">
                  <c:v>FY2027 Reforecast</c:v>
                </c:pt>
              </c:strCache>
            </c:strRef>
          </c:tx>
          <c:spPr>
            <a:solidFill>
              <a:schemeClr val="accent2"/>
            </a:solidFill>
            <a:ln>
              <a:noFill/>
            </a:ln>
            <a:effectLst/>
          </c:spPr>
          <c:invertIfNegative val="0"/>
          <c:dLbls>
            <c:delete val="1"/>
          </c:dLbls>
          <c:cat>
            <c:strRef>
              <c:f>'KPI Dashboard'!$A$40:$A$44</c:f>
              <c:strCache>
                <c:ptCount val="5"/>
                <c:pt idx="0">
                  <c:v>Gross Margin %</c:v>
                </c:pt>
                <c:pt idx="1">
                  <c:v>SG&amp;A % of Net Sales</c:v>
                </c:pt>
                <c:pt idx="2">
                  <c:v>Operating Margin %</c:v>
                </c:pt>
                <c:pt idx="3">
                  <c:v>Net Margin %</c:v>
                </c:pt>
                <c:pt idx="4">
                  <c:v>FCF Margin %</c:v>
                </c:pt>
              </c:strCache>
            </c:strRef>
          </c:cat>
          <c:val>
            <c:numRef>
              <c:f>'KPI Dashboard'!$C$40:$C$44</c:f>
              <c:numCache>
                <c:formatCode>0.0%</c:formatCode>
                <c:ptCount val="5"/>
                <c:pt idx="0">
                  <c:v>0.24010000000000001</c:v>
                </c:pt>
                <c:pt idx="1">
                  <c:v>0.2089</c:v>
                </c:pt>
                <c:pt idx="2">
                  <c:v>4.2500000000000003E-2</c:v>
                </c:pt>
                <c:pt idx="3">
                  <c:v>3.0099999999999998E-2</c:v>
                </c:pt>
                <c:pt idx="4" formatCode="0.00%">
                  <c:v>1.2500000000000001E-2</c:v>
                </c:pt>
              </c:numCache>
            </c:numRef>
          </c:val>
          <c:extLst>
            <c:ext xmlns:c16="http://schemas.microsoft.com/office/drawing/2014/chart" uri="{C3380CC4-5D6E-409C-BE32-E72D297353CC}">
              <c16:uniqueId val="{00000001-9509-4FD6-A905-EE4CE3B8879B}"/>
            </c:ext>
          </c:extLst>
        </c:ser>
        <c:dLbls>
          <c:dLblPos val="outEnd"/>
          <c:showLegendKey val="0"/>
          <c:showVal val="1"/>
          <c:showCatName val="0"/>
          <c:showSerName val="0"/>
          <c:showPercent val="0"/>
          <c:showBubbleSize val="0"/>
        </c:dLbls>
        <c:gapWidth val="219"/>
        <c:overlap val="-27"/>
        <c:axId val="1476472544"/>
        <c:axId val="1476460544"/>
      </c:barChart>
      <c:catAx>
        <c:axId val="147647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60544"/>
        <c:crosses val="autoZero"/>
        <c:auto val="1"/>
        <c:lblAlgn val="ctr"/>
        <c:lblOffset val="100"/>
        <c:noMultiLvlLbl val="0"/>
      </c:catAx>
      <c:valAx>
        <c:axId val="147646054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72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518160</xdr:colOff>
      <xdr:row>7</xdr:row>
      <xdr:rowOff>114300</xdr:rowOff>
    </xdr:from>
    <xdr:to>
      <xdr:col>19</xdr:col>
      <xdr:colOff>22860</xdr:colOff>
      <xdr:row>16</xdr:row>
      <xdr:rowOff>22860</xdr:rowOff>
    </xdr:to>
    <xdr:sp macro="" textlink="">
      <xdr:nvSpPr>
        <xdr:cNvPr id="2" name="Rectangle 1">
          <a:extLst>
            <a:ext uri="{FF2B5EF4-FFF2-40B4-BE49-F238E27FC236}">
              <a16:creationId xmlns:a16="http://schemas.microsoft.com/office/drawing/2014/main" id="{8F461CB0-8838-ED1A-3FCC-D38F0FDE0E6F}"/>
            </a:ext>
          </a:extLst>
        </xdr:cNvPr>
        <xdr:cNvSpPr/>
      </xdr:nvSpPr>
      <xdr:spPr>
        <a:xfrm>
          <a:off x="1737360" y="1409700"/>
          <a:ext cx="9867900" cy="155448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a:solidFill>
                <a:schemeClr val="bg1"/>
              </a:solidFill>
              <a:latin typeface="+mn-lt"/>
              <a:ea typeface="Open sans" panose="020B0606030504020204" pitchFamily="34" charset="0"/>
              <a:cs typeface="Open sans" panose="020B0606030504020204" pitchFamily="34" charset="0"/>
            </a:rPr>
            <a:t>Walmart</a:t>
          </a:r>
          <a:r>
            <a:rPr lang="en-US" sz="4000" b="0">
              <a:latin typeface="+mn-lt"/>
            </a:rPr>
            <a:t> Quarterly FP&amp;A Reporting Dashboard &amp; Reforecast Model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175260</xdr:rowOff>
    </xdr:from>
    <xdr:to>
      <xdr:col>7</xdr:col>
      <xdr:colOff>7620</xdr:colOff>
      <xdr:row>21</xdr:row>
      <xdr:rowOff>22860</xdr:rowOff>
    </xdr:to>
    <xdr:sp macro="" textlink="">
      <xdr:nvSpPr>
        <xdr:cNvPr id="2" name="Rectangle 1">
          <a:extLst>
            <a:ext uri="{FF2B5EF4-FFF2-40B4-BE49-F238E27FC236}">
              <a16:creationId xmlns:a16="http://schemas.microsoft.com/office/drawing/2014/main" id="{737DBEB5-44E1-A6DF-D2D0-9F620BB286C0}"/>
            </a:ext>
          </a:extLst>
        </xdr:cNvPr>
        <xdr:cNvSpPr/>
      </xdr:nvSpPr>
      <xdr:spPr>
        <a:xfrm>
          <a:off x="0" y="3832860"/>
          <a:ext cx="7581900" cy="13106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solidFill>
                <a:schemeClr val="accent1"/>
              </a:solidFill>
            </a:rPr>
            <a:t>Summary:</a:t>
          </a:r>
          <a:br>
            <a:rPr lang="en-US">
              <a:solidFill>
                <a:schemeClr val="accent1"/>
              </a:solidFill>
            </a:rPr>
          </a:br>
          <a:r>
            <a:rPr lang="en-US">
              <a:solidFill>
                <a:schemeClr val="accent1"/>
              </a:solidFill>
            </a:rPr>
            <a:t>Walmart’s historical performance shows steady revenue growth, with total revenue increasing at an average rate of </a:t>
          </a:r>
          <a:r>
            <a:rPr lang="en-US" b="1">
              <a:solidFill>
                <a:schemeClr val="accent1"/>
              </a:solidFill>
            </a:rPr>
            <a:t>5.3%</a:t>
          </a:r>
          <a:r>
            <a:rPr lang="en-US">
              <a:solidFill>
                <a:schemeClr val="accent1"/>
              </a:solidFill>
            </a:rPr>
            <a:t> from FY2024A–FY2026A. Gross margin remained stable and slightly improved over the period, averaging </a:t>
          </a:r>
          <a:r>
            <a:rPr lang="en-US" b="1">
              <a:solidFill>
                <a:schemeClr val="accent1"/>
              </a:solidFill>
            </a:rPr>
            <a:t>23.9%</a:t>
          </a:r>
          <a:r>
            <a:rPr lang="en-US">
              <a:solidFill>
                <a:schemeClr val="accent1"/>
              </a:solidFill>
            </a:rPr>
            <a:t>, while SG&amp;A as a percentage of net sales averaged </a:t>
          </a:r>
          <a:r>
            <a:rPr lang="en-US" b="1">
              <a:solidFill>
                <a:schemeClr val="accent1"/>
              </a:solidFill>
            </a:rPr>
            <a:t>20.8%</a:t>
          </a:r>
          <a:r>
            <a:rPr lang="en-US">
              <a:solidFill>
                <a:schemeClr val="accent1"/>
              </a:solidFill>
            </a:rPr>
            <a:t>, indicating consistent cost structure. Operating margin averaged </a:t>
          </a:r>
          <a:r>
            <a:rPr lang="en-US" b="1">
              <a:solidFill>
                <a:schemeClr val="accent1"/>
              </a:solidFill>
            </a:rPr>
            <a:t>4.0%</a:t>
          </a:r>
          <a:r>
            <a:rPr lang="en-US">
              <a:solidFill>
                <a:schemeClr val="accent1"/>
              </a:solidFill>
            </a:rPr>
            <a:t>, reflecting Walmart’s low-margin, high-volume retail model. The FY2027 budget</a:t>
          </a:r>
          <a:r>
            <a:rPr lang="en-US" baseline="0">
              <a:solidFill>
                <a:schemeClr val="accent1"/>
              </a:solidFill>
            </a:rPr>
            <a:t> assumptions</a:t>
          </a:r>
          <a:r>
            <a:rPr lang="en-US">
              <a:solidFill>
                <a:schemeClr val="accent1"/>
              </a:solidFill>
            </a:rPr>
            <a:t> are based primarily on historical averages, creating a reasonable base-case forecast. CapEx is projected at </a:t>
          </a:r>
          <a:r>
            <a:rPr lang="en-US" b="1">
              <a:solidFill>
                <a:schemeClr val="accent1"/>
              </a:solidFill>
            </a:rPr>
            <a:t>3.3% of revenue</a:t>
          </a:r>
          <a:r>
            <a:rPr lang="en-US">
              <a:solidFill>
                <a:schemeClr val="accent1"/>
              </a:solidFill>
            </a:rPr>
            <a:t>, and free cash flow margin is assumed at </a:t>
          </a:r>
          <a:r>
            <a:rPr lang="en-US" b="1">
              <a:solidFill>
                <a:schemeClr val="accent1"/>
              </a:solidFill>
            </a:rPr>
            <a:t>2.1%</a:t>
          </a:r>
          <a:r>
            <a:rPr lang="en-US">
              <a:solidFill>
                <a:schemeClr val="accent1"/>
              </a:solidFill>
            </a:rPr>
            <a:t>, consistent with recent historical performance.</a:t>
          </a:r>
          <a:endParaRPr lang="en-US" sz="1100">
            <a:solidFill>
              <a:schemeClr val="accent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30</xdr:row>
      <xdr:rowOff>167640</xdr:rowOff>
    </xdr:from>
    <xdr:to>
      <xdr:col>3</xdr:col>
      <xdr:colOff>22860</xdr:colOff>
      <xdr:row>40</xdr:row>
      <xdr:rowOff>22860</xdr:rowOff>
    </xdr:to>
    <xdr:sp macro="" textlink="">
      <xdr:nvSpPr>
        <xdr:cNvPr id="2" name="Rectangle 1">
          <a:extLst>
            <a:ext uri="{FF2B5EF4-FFF2-40B4-BE49-F238E27FC236}">
              <a16:creationId xmlns:a16="http://schemas.microsoft.com/office/drawing/2014/main" id="{EB7F7C70-C1E0-9620-ED81-EC1E21DE9749}"/>
            </a:ext>
          </a:extLst>
        </xdr:cNvPr>
        <xdr:cNvSpPr/>
      </xdr:nvSpPr>
      <xdr:spPr>
        <a:xfrm>
          <a:off x="30480" y="6362700"/>
          <a:ext cx="5295900" cy="16840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chemeClr val="accent1"/>
              </a:solidFill>
            </a:rPr>
            <a:t>FY2027 Budget Summary</a:t>
          </a:r>
          <a:endParaRPr lang="en-US" sz="1200">
            <a:solidFill>
              <a:schemeClr val="accent1"/>
            </a:solidFill>
          </a:endParaRPr>
        </a:p>
        <a:p>
          <a:r>
            <a:rPr lang="en-US" sz="1200">
              <a:solidFill>
                <a:schemeClr val="accent1"/>
              </a:solidFill>
            </a:rPr>
            <a:t>Walmart’s FY2027 budget assumes steady growth, with Total Revenue increasing to approximately </a:t>
          </a:r>
          <a:r>
            <a:rPr lang="en-US" sz="1200" b="1">
              <a:solidFill>
                <a:schemeClr val="accent1"/>
              </a:solidFill>
            </a:rPr>
            <a:t>$751.0B</a:t>
          </a:r>
          <a:r>
            <a:rPr lang="en-US" sz="1200">
              <a:solidFill>
                <a:schemeClr val="accent1"/>
              </a:solidFill>
            </a:rPr>
            <a:t>. Net Sales are projected to grow by </a:t>
          </a:r>
          <a:r>
            <a:rPr lang="en-US" sz="1200" b="1">
              <a:solidFill>
                <a:schemeClr val="accent1"/>
              </a:solidFill>
            </a:rPr>
            <a:t>5.3%</a:t>
          </a:r>
          <a:r>
            <a:rPr lang="en-US" sz="1200">
              <a:solidFill>
                <a:schemeClr val="accent1"/>
              </a:solidFill>
            </a:rPr>
            <a:t>, while Gross Margin declines slightly from </a:t>
          </a:r>
          <a:r>
            <a:rPr lang="en-US" sz="1200" b="1">
              <a:solidFill>
                <a:schemeClr val="accent1"/>
              </a:solidFill>
            </a:rPr>
            <a:t>24.2% to 23.9%</a:t>
          </a:r>
          <a:r>
            <a:rPr lang="en-US" sz="1200">
              <a:solidFill>
                <a:schemeClr val="accent1"/>
              </a:solidFill>
            </a:rPr>
            <a:t>.</a:t>
          </a:r>
        </a:p>
        <a:p>
          <a:r>
            <a:rPr lang="en-US" sz="1200">
              <a:solidFill>
                <a:schemeClr val="accent1"/>
              </a:solidFill>
            </a:rPr>
            <a:t>SG&amp;A improves modestly as a percentage of Net Sales, supporting Operating Income of about </a:t>
          </a:r>
          <a:r>
            <a:rPr lang="en-US" sz="1200" b="1">
              <a:solidFill>
                <a:schemeClr val="accent1"/>
              </a:solidFill>
            </a:rPr>
            <a:t>$30.2B</a:t>
          </a:r>
          <a:r>
            <a:rPr lang="en-US" sz="1200">
              <a:solidFill>
                <a:schemeClr val="accent1"/>
              </a:solidFill>
            </a:rPr>
            <a:t>. Net Income remains relatively stable at approximately </a:t>
          </a:r>
          <a:r>
            <a:rPr lang="en-US" sz="1200" b="1">
              <a:solidFill>
                <a:schemeClr val="accent1"/>
              </a:solidFill>
            </a:rPr>
            <a:t>$21.9B</a:t>
          </a:r>
          <a:r>
            <a:rPr lang="en-US" sz="1200">
              <a:solidFill>
                <a:schemeClr val="accent1"/>
              </a:solidFill>
            </a:rPr>
            <a:t>, while Free Cash Flow improves to around </a:t>
          </a:r>
          <a:r>
            <a:rPr lang="en-US" sz="1200" b="1">
              <a:solidFill>
                <a:schemeClr val="accent1"/>
              </a:solidFill>
            </a:rPr>
            <a:t>$15.8B</a:t>
          </a:r>
          <a:r>
            <a:rPr lang="en-US" sz="1200">
              <a:solidFill>
                <a:schemeClr val="accent1"/>
              </a:solidFill>
            </a:rPr>
            <a:t> due to lower CapEx intensity.</a:t>
          </a: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34</xdr:row>
      <xdr:rowOff>0</xdr:rowOff>
    </xdr:from>
    <xdr:to>
      <xdr:col>5</xdr:col>
      <xdr:colOff>38100</xdr:colOff>
      <xdr:row>42</xdr:row>
      <xdr:rowOff>167640</xdr:rowOff>
    </xdr:to>
    <xdr:sp macro="" textlink="">
      <xdr:nvSpPr>
        <xdr:cNvPr id="3" name="Rectangle 2">
          <a:extLst>
            <a:ext uri="{FF2B5EF4-FFF2-40B4-BE49-F238E27FC236}">
              <a16:creationId xmlns:a16="http://schemas.microsoft.com/office/drawing/2014/main" id="{1EABE0FF-EFF3-515A-F33F-3C1556F138AE}"/>
            </a:ext>
          </a:extLst>
        </xdr:cNvPr>
        <xdr:cNvSpPr/>
      </xdr:nvSpPr>
      <xdr:spPr>
        <a:xfrm>
          <a:off x="7620" y="7680960"/>
          <a:ext cx="7155180" cy="163068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accent1"/>
              </a:solidFill>
            </a:rPr>
            <a:t>FY2027 Budget Variance Summary</a:t>
          </a:r>
          <a:endParaRPr lang="en-US" sz="1400">
            <a:solidFill>
              <a:schemeClr val="accent1"/>
            </a:solidFill>
          </a:endParaRPr>
        </a:p>
        <a:p>
          <a:r>
            <a:rPr lang="en-US" sz="1400">
              <a:solidFill>
                <a:schemeClr val="accent1"/>
              </a:solidFill>
            </a:rPr>
            <a:t>Walmart’s FY2027 budget shows steady revenue growth, with Total Revenue increasing </a:t>
          </a:r>
          <a:r>
            <a:rPr lang="en-US" sz="1400" b="1">
              <a:solidFill>
                <a:schemeClr val="accent1"/>
              </a:solidFill>
            </a:rPr>
            <a:t>5.3%</a:t>
          </a:r>
          <a:r>
            <a:rPr lang="en-US" sz="1400">
              <a:solidFill>
                <a:schemeClr val="accent1"/>
              </a:solidFill>
            </a:rPr>
            <a:t> versus FY2026A. Gross Margin declines by </a:t>
          </a:r>
          <a:r>
            <a:rPr lang="en-US" sz="1400" b="1">
              <a:solidFill>
                <a:schemeClr val="accent1"/>
              </a:solidFill>
            </a:rPr>
            <a:t>30 bps</a:t>
          </a:r>
          <a:r>
            <a:rPr lang="en-US" sz="1400">
              <a:solidFill>
                <a:schemeClr val="accent1"/>
              </a:solidFill>
            </a:rPr>
            <a:t>, showing slight pressure on product profitability, while SG&amp;A improves by </a:t>
          </a:r>
          <a:r>
            <a:rPr lang="en-US" sz="1400" b="1">
              <a:solidFill>
                <a:schemeClr val="accent1"/>
              </a:solidFill>
            </a:rPr>
            <a:t>10 bps</a:t>
          </a:r>
          <a:r>
            <a:rPr lang="en-US" sz="1400">
              <a:solidFill>
                <a:schemeClr val="accent1"/>
              </a:solidFill>
            </a:rPr>
            <a:t>, reflecting better expense control. Operating Income increases modestly by </a:t>
          </a:r>
          <a:r>
            <a:rPr lang="en-US" sz="1400" b="1">
              <a:solidFill>
                <a:schemeClr val="accent1"/>
              </a:solidFill>
            </a:rPr>
            <a:t>1.1%</a:t>
          </a:r>
          <a:r>
            <a:rPr lang="en-US" sz="1400">
              <a:solidFill>
                <a:schemeClr val="accent1"/>
              </a:solidFill>
            </a:rPr>
            <a:t>, but Net Income remains nearly flat due to a higher effective tax rate. Free Cash Flow improves </a:t>
          </a:r>
          <a:r>
            <a:rPr lang="en-US" sz="1400" b="1">
              <a:solidFill>
                <a:schemeClr val="accent1"/>
              </a:solidFill>
            </a:rPr>
            <a:t>5.7%</a:t>
          </a:r>
          <a:r>
            <a:rPr lang="en-US" sz="1400">
              <a:solidFill>
                <a:schemeClr val="accent1"/>
              </a:solidFill>
            </a:rPr>
            <a:t>, supported by lower CapEx as a percentage of revenue.</a:t>
          </a:r>
        </a:p>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32</xdr:row>
      <xdr:rowOff>7620</xdr:rowOff>
    </xdr:from>
    <xdr:to>
      <xdr:col>4</xdr:col>
      <xdr:colOff>22860</xdr:colOff>
      <xdr:row>43</xdr:row>
      <xdr:rowOff>15240</xdr:rowOff>
    </xdr:to>
    <xdr:sp macro="" textlink="">
      <xdr:nvSpPr>
        <xdr:cNvPr id="2" name="Rectangle 1">
          <a:extLst>
            <a:ext uri="{FF2B5EF4-FFF2-40B4-BE49-F238E27FC236}">
              <a16:creationId xmlns:a16="http://schemas.microsoft.com/office/drawing/2014/main" id="{6ADAF8F0-4A83-E321-8D8E-EDA190E7C4E9}"/>
            </a:ext>
          </a:extLst>
        </xdr:cNvPr>
        <xdr:cNvSpPr/>
      </xdr:nvSpPr>
      <xdr:spPr>
        <a:xfrm>
          <a:off x="7620" y="6713220"/>
          <a:ext cx="5715000" cy="20193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accent1"/>
              </a:solidFill>
            </a:rPr>
            <a:t>FY2027 Reforecast Summary</a:t>
          </a:r>
          <a:endParaRPr lang="en-US" sz="1400">
            <a:solidFill>
              <a:schemeClr val="accent1"/>
            </a:solidFill>
          </a:endParaRPr>
        </a:p>
        <a:p>
          <a:r>
            <a:rPr lang="en-US" sz="1400">
              <a:solidFill>
                <a:schemeClr val="accent1"/>
              </a:solidFill>
            </a:rPr>
            <a:t>The FY2027 reforecast projects Total Revenue of </a:t>
          </a:r>
          <a:r>
            <a:rPr lang="en-US" sz="1400" b="1">
              <a:solidFill>
                <a:schemeClr val="accent1"/>
              </a:solidFill>
            </a:rPr>
            <a:t>$731.7B</a:t>
          </a:r>
          <a:r>
            <a:rPr lang="en-US" sz="1400">
              <a:solidFill>
                <a:schemeClr val="accent1"/>
              </a:solidFill>
            </a:rPr>
            <a:t>, which is </a:t>
          </a:r>
          <a:r>
            <a:rPr lang="en-US" sz="1400" b="1">
              <a:solidFill>
                <a:schemeClr val="accent1"/>
              </a:solidFill>
            </a:rPr>
            <a:t>$19.3B below budget</a:t>
          </a:r>
          <a:r>
            <a:rPr lang="en-US" sz="1400">
              <a:solidFill>
                <a:schemeClr val="accent1"/>
              </a:solidFill>
            </a:rPr>
            <a:t>, driven by lower-than-budgeted Net Sales. Despite lower revenue, Operating Income is projected </a:t>
          </a:r>
          <a:r>
            <a:rPr lang="en-US" sz="1400" b="1">
              <a:solidFill>
                <a:schemeClr val="accent1"/>
              </a:solidFill>
            </a:rPr>
            <a:t>$927M above budget</a:t>
          </a:r>
          <a:r>
            <a:rPr lang="en-US" sz="1400">
              <a:solidFill>
                <a:schemeClr val="accent1"/>
              </a:solidFill>
            </a:rPr>
            <a:t> due to stronger gross margin and lower SG&amp;A expense dollars. Net Income is expected to be slightly above budget at </a:t>
          </a:r>
          <a:r>
            <a:rPr lang="en-US" sz="1400" b="1">
              <a:solidFill>
                <a:schemeClr val="accent1"/>
              </a:solidFill>
            </a:rPr>
            <a:t>$22.0B</a:t>
          </a:r>
          <a:r>
            <a:rPr lang="en-US" sz="1400">
              <a:solidFill>
                <a:schemeClr val="accent1"/>
              </a:solidFill>
            </a:rPr>
            <a:t>, supported by a lower effective tax rate. However, Free Cash Flow is projected </a:t>
          </a:r>
          <a:r>
            <a:rPr lang="en-US" sz="1400" b="1">
              <a:solidFill>
                <a:schemeClr val="accent1"/>
              </a:solidFill>
            </a:rPr>
            <a:t>$6.6B below budget</a:t>
          </a:r>
          <a:r>
            <a:rPr lang="en-US" sz="1400">
              <a:solidFill>
                <a:schemeClr val="accent1"/>
              </a:solidFill>
            </a:rPr>
            <a:t>, mainly due to weaker Q1 cash flow performance.</a:t>
          </a:r>
        </a:p>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63</xdr:row>
      <xdr:rowOff>190500</xdr:rowOff>
    </xdr:from>
    <xdr:to>
      <xdr:col>3</xdr:col>
      <xdr:colOff>3497580</xdr:colOff>
      <xdr:row>72</xdr:row>
      <xdr:rowOff>15240</xdr:rowOff>
    </xdr:to>
    <xdr:sp macro="" textlink="">
      <xdr:nvSpPr>
        <xdr:cNvPr id="2" name="Rectangle 1">
          <a:extLst>
            <a:ext uri="{FF2B5EF4-FFF2-40B4-BE49-F238E27FC236}">
              <a16:creationId xmlns:a16="http://schemas.microsoft.com/office/drawing/2014/main" id="{8F6BF6D6-1133-1256-95A0-46C593DE3295}"/>
            </a:ext>
          </a:extLst>
        </xdr:cNvPr>
        <xdr:cNvSpPr/>
      </xdr:nvSpPr>
      <xdr:spPr>
        <a:xfrm>
          <a:off x="0" y="10965180"/>
          <a:ext cx="6507480" cy="14935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62</xdr:row>
      <xdr:rowOff>175260</xdr:rowOff>
    </xdr:from>
    <xdr:to>
      <xdr:col>4</xdr:col>
      <xdr:colOff>0</xdr:colOff>
      <xdr:row>75</xdr:row>
      <xdr:rowOff>7620</xdr:rowOff>
    </xdr:to>
    <xdr:sp macro="" textlink="">
      <xdr:nvSpPr>
        <xdr:cNvPr id="7176" name="Text Box 8">
          <a:extLst>
            <a:ext uri="{FF2B5EF4-FFF2-40B4-BE49-F238E27FC236}">
              <a16:creationId xmlns:a16="http://schemas.microsoft.com/office/drawing/2014/main" id="{48DA07B8-DB58-0EA8-9BE8-40399F6411A3}"/>
            </a:ext>
          </a:extLst>
        </xdr:cNvPr>
        <xdr:cNvSpPr txBox="1">
          <a:spLocks noChangeArrowheads="1"/>
        </xdr:cNvSpPr>
      </xdr:nvSpPr>
      <xdr:spPr bwMode="auto">
        <a:xfrm>
          <a:off x="0" y="10767060"/>
          <a:ext cx="6515100" cy="2232660"/>
        </a:xfrm>
        <a:prstGeom prst="rect">
          <a:avLst/>
        </a:prstGeom>
        <a:solidFill>
          <a:schemeClr val="bg1">
            <a:lumMod val="95000"/>
          </a:schemeClr>
        </a:solidFill>
        <a:ln w="9525">
          <a:noFill/>
          <a:miter lim="800000"/>
          <a:headEnd/>
          <a:tailEnd/>
        </a:ln>
      </xdr:spPr>
      <xdr:txBody>
        <a:bodyPr vertOverflow="clip" wrap="square" lIns="36576" tIns="32004" rIns="0" bIns="0" anchor="t" upright="1"/>
        <a:lstStyle/>
        <a:p>
          <a:pPr algn="l" rtl="0">
            <a:defRPr sz="1000"/>
          </a:pPr>
          <a:r>
            <a:rPr lang="en-US" sz="1600" b="1" i="0" u="none" strike="noStrike" baseline="0">
              <a:solidFill>
                <a:schemeClr val="accent1"/>
              </a:solidFill>
              <a:latin typeface="Calibri"/>
              <a:ea typeface="Calibri"/>
              <a:cs typeface="Calibri"/>
            </a:rPr>
            <a:t>Dashboard Summary</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chemeClr val="accent1"/>
              </a:solidFill>
              <a:latin typeface="Calibri"/>
              <a:ea typeface="Calibri"/>
              <a:cs typeface="Calibri"/>
            </a:rPr>
            <a:t>The FY2027 reforecast shows that Walmart is expected to underperform its original revenue budget, with Total Revenue projected at $731.7B, which is $19.3B below budget. The main driver is weaker Net Sales, which are projected $20.7B below budget, partially offset by stronger Membership &amp; Other Income. This means the company is still growing compared to FY2026A, but not reaching the original FY2027 sales target.</a:t>
          </a:r>
        </a:p>
        <a:p>
          <a:pPr algn="l" rtl="0">
            <a:defRPr sz="1000"/>
          </a:pPr>
          <a:endParaRPr lang="en-US" sz="1100" b="0" i="0" u="none" strike="noStrike" baseline="0">
            <a:solidFill>
              <a:schemeClr val="accent1"/>
            </a:solidFill>
            <a:latin typeface="Calibri"/>
            <a:ea typeface="Calibri"/>
            <a:cs typeface="Calibri"/>
          </a:endParaRPr>
        </a:p>
        <a:p>
          <a:pPr algn="l" rtl="0">
            <a:defRPr sz="1000"/>
          </a:pPr>
          <a:r>
            <a:rPr lang="en-US" sz="1100" b="0" i="0" u="none" strike="noStrike" baseline="0">
              <a:solidFill>
                <a:schemeClr val="accent1"/>
              </a:solidFill>
              <a:latin typeface="Calibri"/>
              <a:ea typeface="Calibri"/>
              <a:cs typeface="Calibri"/>
            </a:rPr>
            <a:t>Despite the revenue shortfall, profitability is expected to outperform budget. Operating Income is projected $927M above budget, supported by stronger gross margin and lower SG&amp;A expense dollars. Net Income is also slightly above budget at $22.0B, helped by a lower effective tax rate. However, Free Cash Flow is the biggest weakness, coming in $6.6B below budget, mainly due to weak Q1 cash flow performance. Overall, the reforecast shows weaker sales but better earnings performance, while cash flow remains the key area to monitor.</a:t>
          </a:r>
        </a:p>
      </xdr:txBody>
    </xdr:sp>
    <xdr:clientData/>
  </xdr:twoCellAnchor>
  <xdr:twoCellAnchor>
    <xdr:from>
      <xdr:col>6</xdr:col>
      <xdr:colOff>0</xdr:colOff>
      <xdr:row>4</xdr:row>
      <xdr:rowOff>0</xdr:rowOff>
    </xdr:from>
    <xdr:to>
      <xdr:col>14</xdr:col>
      <xdr:colOff>205740</xdr:colOff>
      <xdr:row>20</xdr:row>
      <xdr:rowOff>15240</xdr:rowOff>
    </xdr:to>
    <xdr:graphicFrame macro="">
      <xdr:nvGraphicFramePr>
        <xdr:cNvPr id="3" name="Chart 2">
          <a:extLst>
            <a:ext uri="{FF2B5EF4-FFF2-40B4-BE49-F238E27FC236}">
              <a16:creationId xmlns:a16="http://schemas.microsoft.com/office/drawing/2014/main" id="{732DB6A6-1126-C15F-FBE2-F5A0D093D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594360</xdr:colOff>
      <xdr:row>20</xdr:row>
      <xdr:rowOff>179070</xdr:rowOff>
    </xdr:from>
    <xdr:to>
      <xdr:col>5</xdr:col>
      <xdr:colOff>22860</xdr:colOff>
      <xdr:row>32</xdr:row>
      <xdr:rowOff>0</xdr:rowOff>
    </xdr:to>
    <xdr:graphicFrame macro="">
      <xdr:nvGraphicFramePr>
        <xdr:cNvPr id="4" name="Chart 3">
          <a:extLst>
            <a:ext uri="{FF2B5EF4-FFF2-40B4-BE49-F238E27FC236}">
              <a16:creationId xmlns:a16="http://schemas.microsoft.com/office/drawing/2014/main" id="{DCF622A2-5BA0-A4DC-0E1C-B70342AEB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480060</xdr:colOff>
      <xdr:row>30</xdr:row>
      <xdr:rowOff>163830</xdr:rowOff>
    </xdr:from>
    <xdr:to>
      <xdr:col>13</xdr:col>
      <xdr:colOff>175260</xdr:colOff>
      <xdr:row>47</xdr:row>
      <xdr:rowOff>41910</xdr:rowOff>
    </xdr:to>
    <xdr:graphicFrame macro="">
      <xdr:nvGraphicFramePr>
        <xdr:cNvPr id="6" name="Chart 5">
          <a:extLst>
            <a:ext uri="{FF2B5EF4-FFF2-40B4-BE49-F238E27FC236}">
              <a16:creationId xmlns:a16="http://schemas.microsoft.com/office/drawing/2014/main" id="{5E5DC060-99FB-503A-AAE4-F8698089A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1196340</xdr:colOff>
      <xdr:row>51</xdr:row>
      <xdr:rowOff>0</xdr:rowOff>
    </xdr:from>
    <xdr:to>
      <xdr:col>14</xdr:col>
      <xdr:colOff>373380</xdr:colOff>
      <xdr:row>66</xdr:row>
      <xdr:rowOff>0</xdr:rowOff>
    </xdr:to>
    <xdr:sp macro="" textlink="">
      <xdr:nvSpPr>
        <xdr:cNvPr id="8" name="Rectangle 7">
          <a:extLst>
            <a:ext uri="{FF2B5EF4-FFF2-40B4-BE49-F238E27FC236}">
              <a16:creationId xmlns:a16="http://schemas.microsoft.com/office/drawing/2014/main" id="{27006394-45DE-41B4-4525-C2AAAAFA7B7C}"/>
            </a:ext>
          </a:extLst>
        </xdr:cNvPr>
        <xdr:cNvSpPr/>
      </xdr:nvSpPr>
      <xdr:spPr>
        <a:xfrm>
          <a:off x="7711440" y="9418320"/>
          <a:ext cx="6088380" cy="288798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cap="none" spc="0">
              <a:ln w="0"/>
              <a:solidFill>
                <a:schemeClr val="accent1"/>
              </a:solidFill>
              <a:effectLst>
                <a:outerShdw blurRad="38100" dist="25400" dir="5400000" algn="ctr" rotWithShape="0">
                  <a:srgbClr val="6E747A">
                    <a:alpha val="43000"/>
                  </a:srgbClr>
                </a:outerShdw>
              </a:effectLst>
            </a:rPr>
            <a:t>Variance Drivers Summary</a:t>
          </a:r>
        </a:p>
        <a:p>
          <a:r>
            <a:rPr lang="en-US" b="0" cap="none" spc="0">
              <a:ln w="0"/>
              <a:solidFill>
                <a:schemeClr val="accent1"/>
              </a:solidFill>
              <a:effectLst>
                <a:outerShdw blurRad="38100" dist="25400" dir="5400000" algn="ctr" rotWithShape="0">
                  <a:srgbClr val="6E747A">
                    <a:alpha val="43000"/>
                  </a:srgbClr>
                </a:outerShdw>
              </a:effectLst>
            </a:rPr>
            <a:t>Walmart’s reforecast shows Net Sales $20.7B below budget, making revenue the main weakness. This is partially offset by Membership &amp; Other Income, which is $1.4B above budget.</a:t>
          </a:r>
        </a:p>
        <a:p>
          <a:r>
            <a:rPr lang="en-US" b="0" cap="none" spc="0">
              <a:ln w="0"/>
              <a:solidFill>
                <a:schemeClr val="accent1"/>
              </a:solidFill>
              <a:effectLst>
                <a:outerShdw blurRad="38100" dist="25400" dir="5400000" algn="ctr" rotWithShape="0">
                  <a:srgbClr val="6E747A">
                    <a:alpha val="43000"/>
                  </a:srgbClr>
                </a:outerShdw>
              </a:effectLst>
            </a:rPr>
            <a:t>Profitability is stronger than expected, with Gross Margin 11 bps favorable and Operating Income $927M above budget, despite SG&amp;A being 9 bps unfavorable as a percentage of sales. A 137 bps lower effective tax rate also supports net income. However, Free Cash Flow is $6.6B below budget, making cash generation the main area of concern.</a:t>
          </a:r>
        </a:p>
        <a:p>
          <a:r>
            <a:rPr lang="en-US" b="0" cap="none" spc="0">
              <a:ln w="0"/>
              <a:solidFill>
                <a:schemeClr val="accent1"/>
              </a:solidFill>
              <a:effectLst>
                <a:outerShdw blurRad="38100" dist="25400" dir="5400000" algn="ctr" rotWithShape="0">
                  <a:srgbClr val="6E747A">
                    <a:alpha val="43000"/>
                  </a:srgbClr>
                </a:outerShdw>
              </a:effectLst>
            </a:rPr>
            <a:t>What This Means / Recommended Actions</a:t>
          </a:r>
        </a:p>
        <a:p>
          <a:r>
            <a:rPr lang="en-US" b="0" cap="none" spc="0">
              <a:ln w="0"/>
              <a:solidFill>
                <a:schemeClr val="accent1"/>
              </a:solidFill>
              <a:effectLst>
                <a:outerShdw blurRad="38100" dist="25400" dir="5400000" algn="ctr" rotWithShape="0">
                  <a:srgbClr val="6E747A">
                    <a:alpha val="43000"/>
                  </a:srgbClr>
                </a:outerShdw>
              </a:effectLst>
            </a:rPr>
            <a:t>The reforecast suggests Walmart is generating stronger profit than expected even though sales are below plan. This means margin management and cost control are helping protect earnings, but weaker sales and cash flow could pressure future flexibility.</a:t>
          </a:r>
        </a:p>
        <a:p>
          <a:r>
            <a:rPr lang="en-US" b="0" cap="none" spc="0">
              <a:ln w="0"/>
              <a:solidFill>
                <a:schemeClr val="accent1"/>
              </a:solidFill>
              <a:effectLst>
                <a:outerShdw blurRad="38100" dist="25400" dir="5400000" algn="ctr" rotWithShape="0">
                  <a:srgbClr val="6E747A">
                    <a:alpha val="43000"/>
                  </a:srgbClr>
                </a:outerShdw>
              </a:effectLst>
            </a:rPr>
            <a:t>Management should focus on improving Net Sales performance through stronger traffic, pricing, promotions, and e-commerce growth. At the same time, Walmart should monitor SG&amp;A efficiency and investigate the weak Free Cash Flow performance, especially working capital, inventory levels, and CapEx timing. The key priority is to protect profitability while improving sales momentum and cash conversion.</a:t>
          </a:r>
        </a:p>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9CD6FC-B2F9-4FD8-8B43-AD9C426D0955}" name="Table1" displayName="Table1" ref="A1:I13" totalsRowShown="0" headerRowDxfId="0" dataDxfId="1">
  <autoFilter ref="A1:I13" xr:uid="{359CD6FC-B2F9-4FD8-8B43-AD9C426D0955}"/>
  <sortState xmlns:xlrd2="http://schemas.microsoft.com/office/spreadsheetml/2017/richdata2" ref="A2:I13">
    <sortCondition ref="A1:A13"/>
  </sortState>
  <tableColumns count="9">
    <tableColumn id="1" xr3:uid="{D2265324-166B-4BDB-B6A8-6A4595F479F9}" name="Sort Order" dataDxfId="10"/>
    <tableColumn id="2" xr3:uid="{4EF7670E-2F8A-4EB2-899E-0598DCF6D38B}" name="KPI" dataDxfId="9"/>
    <tableColumn id="3" xr3:uid="{6C4DFC0D-4EB6-4AAB-984E-6DDF77134E1E}" name="Category" dataDxfId="8"/>
    <tableColumn id="4" xr3:uid="{3AAED590-5854-4DB0-B0F0-8794E4CB287A}" name="Unit" dataDxfId="7"/>
    <tableColumn id="5" xr3:uid="{0557140A-EBDC-46F6-B111-A317431B2776}" name="FY2027 Budget" dataDxfId="6"/>
    <tableColumn id="6" xr3:uid="{FDACD57E-73C9-4656-AA57-E0F5D337EF25}" name="FY2027 Reforecast" dataDxfId="5"/>
    <tableColumn id="7" xr3:uid="{F319F665-5291-47CA-92CC-BB4087DFF7B3}" name="Variance vs Budget" dataDxfId="4"/>
    <tableColumn id="8" xr3:uid="{9C5380B4-9431-44B7-B207-BFDA42F22D44}" name="Variance bps" dataDxfId="3"/>
    <tableColumn id="9" xr3:uid="{CA21D379-2C35-4CBF-B933-4E2077CE0B1F}" name="Statu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C3B74-36C4-4DFD-9EFD-3BC0BB1CA261}">
  <dimension ref="A1:V35"/>
  <sheetViews>
    <sheetView zoomScale="80" zoomScaleNormal="80" workbookViewId="0">
      <selection activeCell="M45" sqref="M45"/>
    </sheetView>
  </sheetViews>
  <sheetFormatPr defaultRowHeight="14.4"/>
  <cols>
    <col min="1" max="16384" width="8.88671875" style="2"/>
  </cols>
  <sheetData>
    <row r="1" spans="1:22" ht="15.6">
      <c r="A1" s="1"/>
    </row>
    <row r="5" spans="1:22">
      <c r="C5" s="3"/>
      <c r="D5" s="3"/>
      <c r="E5" s="3"/>
      <c r="F5" s="3"/>
      <c r="G5" s="3"/>
      <c r="H5" s="3"/>
      <c r="I5" s="3"/>
      <c r="J5" s="3"/>
      <c r="K5" s="3"/>
      <c r="L5" s="3"/>
      <c r="M5" s="3"/>
      <c r="N5" s="3"/>
      <c r="O5" s="3"/>
      <c r="P5" s="3"/>
      <c r="Q5" s="3"/>
      <c r="R5" s="3"/>
      <c r="S5" s="3"/>
      <c r="T5" s="3"/>
      <c r="U5" s="3"/>
      <c r="V5" s="3"/>
    </row>
    <row r="6" spans="1:22">
      <c r="C6" s="3"/>
      <c r="D6" s="3"/>
      <c r="E6" s="3"/>
      <c r="F6" s="3"/>
      <c r="G6" s="3"/>
      <c r="H6" s="3"/>
      <c r="I6" s="3"/>
      <c r="J6" s="3"/>
      <c r="K6" s="3"/>
      <c r="L6" s="3"/>
      <c r="M6" s="3"/>
      <c r="N6" s="3"/>
      <c r="O6" s="3"/>
      <c r="P6" s="3"/>
      <c r="Q6" s="3"/>
      <c r="R6" s="3"/>
      <c r="S6" s="3"/>
      <c r="T6" s="3"/>
      <c r="U6" s="3"/>
      <c r="V6" s="3"/>
    </row>
    <row r="7" spans="1:22">
      <c r="C7" s="3"/>
      <c r="D7" s="3"/>
      <c r="E7" s="3"/>
      <c r="F7" s="3"/>
      <c r="G7" s="3"/>
      <c r="H7" s="3"/>
      <c r="I7" s="3"/>
      <c r="J7" s="3"/>
      <c r="K7" s="3"/>
      <c r="L7" s="3"/>
      <c r="M7" s="3"/>
      <c r="N7" s="3"/>
      <c r="O7" s="3"/>
      <c r="P7" s="3"/>
      <c r="Q7" s="3"/>
      <c r="R7" s="3"/>
      <c r="S7" s="3"/>
      <c r="T7" s="3"/>
      <c r="U7" s="3"/>
      <c r="V7" s="3"/>
    </row>
    <row r="8" spans="1:22">
      <c r="C8" s="3"/>
      <c r="D8" s="3"/>
      <c r="E8" s="3"/>
      <c r="F8" s="3"/>
      <c r="G8" s="3"/>
      <c r="H8" s="3"/>
      <c r="I8" s="3"/>
      <c r="J8" s="3"/>
      <c r="K8" s="3"/>
      <c r="L8" s="3"/>
      <c r="M8" s="3"/>
      <c r="N8" s="3"/>
      <c r="O8" s="3"/>
      <c r="P8" s="3"/>
      <c r="Q8" s="3"/>
      <c r="R8" s="3"/>
      <c r="S8" s="3"/>
      <c r="T8" s="3"/>
      <c r="U8" s="3"/>
      <c r="V8" s="3"/>
    </row>
    <row r="9" spans="1:22">
      <c r="C9" s="3"/>
      <c r="D9" s="3"/>
      <c r="E9" s="3"/>
      <c r="F9" s="3"/>
      <c r="G9" s="3"/>
      <c r="H9" s="3"/>
      <c r="I9" s="3"/>
      <c r="J9" s="3"/>
      <c r="K9" s="3"/>
      <c r="L9" s="3"/>
      <c r="M9" s="3"/>
      <c r="N9" s="3"/>
      <c r="O9" s="3"/>
      <c r="P9" s="3"/>
      <c r="Q9" s="3"/>
      <c r="R9" s="3"/>
      <c r="S9" s="3"/>
      <c r="T9" s="3"/>
      <c r="U9" s="3"/>
      <c r="V9" s="3"/>
    </row>
    <row r="10" spans="1:22">
      <c r="C10" s="3"/>
      <c r="D10" s="3"/>
      <c r="E10" s="3"/>
      <c r="F10" s="3"/>
      <c r="G10" s="3"/>
      <c r="H10" s="3"/>
      <c r="I10" s="3"/>
      <c r="J10" s="3"/>
      <c r="K10" s="3"/>
      <c r="L10" s="3"/>
      <c r="M10" s="3"/>
      <c r="N10" s="3"/>
      <c r="O10" s="3"/>
      <c r="P10" s="3"/>
      <c r="Q10" s="3"/>
      <c r="R10" s="3"/>
      <c r="S10" s="3"/>
      <c r="T10" s="3"/>
      <c r="U10" s="3"/>
      <c r="V10" s="3"/>
    </row>
    <row r="11" spans="1:22">
      <c r="C11" s="3"/>
      <c r="D11" s="3"/>
      <c r="E11" s="3"/>
      <c r="F11" s="3"/>
      <c r="G11" s="3"/>
      <c r="H11" s="3"/>
      <c r="I11" s="3"/>
      <c r="J11" s="3"/>
      <c r="K11" s="3"/>
      <c r="L11" s="3"/>
      <c r="M11" s="3"/>
      <c r="N11" s="3"/>
      <c r="O11" s="3"/>
      <c r="P11" s="3"/>
      <c r="Q11" s="3"/>
      <c r="R11" s="3"/>
      <c r="S11" s="3"/>
      <c r="T11" s="3"/>
      <c r="U11" s="3"/>
      <c r="V11" s="3"/>
    </row>
    <row r="12" spans="1:22">
      <c r="C12" s="3"/>
      <c r="D12" s="3"/>
      <c r="E12" s="3"/>
      <c r="F12" s="3"/>
      <c r="G12" s="3"/>
      <c r="H12" s="3"/>
      <c r="I12" s="3"/>
      <c r="J12" s="3"/>
      <c r="K12" s="3"/>
      <c r="L12" s="3"/>
      <c r="M12" s="3"/>
      <c r="N12" s="3"/>
      <c r="O12" s="3"/>
      <c r="P12" s="3"/>
      <c r="Q12" s="3"/>
      <c r="R12" s="3"/>
      <c r="S12" s="3"/>
      <c r="T12" s="3"/>
      <c r="U12" s="3"/>
      <c r="V12" s="3"/>
    </row>
    <row r="13" spans="1:22">
      <c r="C13" s="3"/>
      <c r="D13" s="3"/>
      <c r="E13" s="3"/>
      <c r="F13" s="3"/>
      <c r="G13" s="3"/>
      <c r="H13" s="3"/>
      <c r="I13" s="3"/>
      <c r="J13" s="3"/>
      <c r="K13" s="3"/>
      <c r="L13" s="3"/>
      <c r="M13" s="3"/>
      <c r="N13" s="3"/>
      <c r="O13" s="3"/>
      <c r="P13" s="3"/>
      <c r="Q13" s="3"/>
      <c r="R13" s="3"/>
      <c r="S13" s="3"/>
      <c r="T13" s="3"/>
      <c r="U13" s="3"/>
      <c r="V13" s="3"/>
    </row>
    <row r="14" spans="1:22">
      <c r="C14" s="3"/>
      <c r="D14" s="3"/>
      <c r="E14" s="3"/>
      <c r="F14" s="3"/>
      <c r="G14" s="3"/>
      <c r="H14" s="3"/>
      <c r="I14" s="3"/>
      <c r="J14" s="3"/>
      <c r="K14" s="3"/>
      <c r="L14" s="3"/>
      <c r="M14" s="3"/>
      <c r="N14" s="3"/>
      <c r="O14" s="3"/>
      <c r="P14" s="3"/>
      <c r="Q14" s="3"/>
      <c r="R14" s="3"/>
      <c r="S14" s="3"/>
      <c r="T14" s="3"/>
      <c r="U14" s="3"/>
      <c r="V14" s="3"/>
    </row>
    <row r="15" spans="1:22">
      <c r="C15" s="3"/>
      <c r="D15" s="3"/>
      <c r="E15" s="3"/>
      <c r="F15" s="3"/>
      <c r="G15" s="3"/>
      <c r="H15" s="3"/>
      <c r="I15" s="3"/>
      <c r="J15" s="3"/>
      <c r="K15" s="3"/>
      <c r="L15" s="3"/>
      <c r="M15" s="3"/>
      <c r="N15" s="3"/>
      <c r="O15" s="3"/>
      <c r="P15" s="3"/>
      <c r="Q15" s="3"/>
      <c r="R15" s="3"/>
      <c r="S15" s="3"/>
      <c r="T15" s="3"/>
      <c r="U15" s="3"/>
      <c r="V15" s="3"/>
    </row>
    <row r="16" spans="1:22">
      <c r="C16" s="3"/>
      <c r="D16" s="3"/>
      <c r="E16" s="3"/>
      <c r="F16" s="3"/>
      <c r="G16" s="3"/>
      <c r="H16" s="3"/>
      <c r="I16" s="3"/>
      <c r="J16" s="3"/>
      <c r="K16" s="3"/>
      <c r="L16" s="3"/>
      <c r="M16" s="3"/>
      <c r="N16" s="3"/>
      <c r="O16" s="3"/>
      <c r="P16" s="3"/>
      <c r="Q16" s="3"/>
      <c r="R16" s="3"/>
      <c r="S16" s="3"/>
      <c r="T16" s="3"/>
      <c r="U16" s="3"/>
      <c r="V16" s="3"/>
    </row>
    <row r="17" spans="3:22">
      <c r="C17" s="3"/>
      <c r="D17" s="3"/>
      <c r="E17" s="3"/>
      <c r="F17" s="3"/>
      <c r="G17" s="3"/>
      <c r="H17" s="3"/>
      <c r="I17" s="3"/>
      <c r="J17" s="3"/>
      <c r="K17" s="3"/>
      <c r="L17" s="3"/>
      <c r="M17" s="3"/>
      <c r="N17" s="3"/>
      <c r="O17" s="3"/>
      <c r="P17" s="3"/>
      <c r="Q17" s="3"/>
      <c r="R17" s="3"/>
      <c r="S17" s="3"/>
      <c r="T17" s="3"/>
      <c r="U17" s="3"/>
      <c r="V17" s="3"/>
    </row>
    <row r="18" spans="3:22">
      <c r="C18" s="3"/>
      <c r="D18" s="3"/>
      <c r="E18" s="3"/>
      <c r="F18" s="3"/>
      <c r="G18" s="3"/>
      <c r="H18" s="3"/>
      <c r="I18" s="3"/>
      <c r="J18" s="3"/>
      <c r="K18" s="3"/>
      <c r="L18" s="3"/>
      <c r="M18" s="3"/>
      <c r="N18" s="3"/>
      <c r="O18" s="3"/>
      <c r="P18" s="3"/>
      <c r="Q18" s="3"/>
      <c r="R18" s="3"/>
      <c r="S18" s="3"/>
      <c r="T18" s="3"/>
      <c r="U18" s="3"/>
      <c r="V18" s="3"/>
    </row>
    <row r="19" spans="3:22">
      <c r="C19" s="3"/>
      <c r="D19" s="3"/>
      <c r="E19" s="3"/>
      <c r="F19" s="3"/>
      <c r="G19" s="3"/>
      <c r="H19" s="3"/>
      <c r="I19" s="3"/>
      <c r="J19" s="3"/>
      <c r="K19" s="3"/>
      <c r="L19" s="3"/>
      <c r="M19" s="3"/>
      <c r="N19" s="3"/>
      <c r="O19" s="3"/>
      <c r="P19" s="3"/>
      <c r="Q19" s="3"/>
      <c r="R19" s="3"/>
      <c r="S19" s="3"/>
      <c r="T19" s="3"/>
      <c r="U19" s="3"/>
      <c r="V19" s="3"/>
    </row>
    <row r="20" spans="3:22" ht="25.8">
      <c r="C20" s="6"/>
      <c r="D20" s="6" t="s">
        <v>0</v>
      </c>
      <c r="E20" s="6"/>
      <c r="F20" s="6"/>
      <c r="G20" s="6"/>
      <c r="H20" s="6"/>
      <c r="I20" s="6"/>
      <c r="J20" s="6"/>
      <c r="K20" s="6"/>
      <c r="L20" s="6"/>
      <c r="M20" s="6"/>
      <c r="N20" s="6"/>
      <c r="O20" s="6"/>
      <c r="P20" s="6"/>
      <c r="Q20" s="6"/>
      <c r="R20" s="5"/>
      <c r="S20" s="4"/>
      <c r="T20" s="4"/>
      <c r="U20" s="4"/>
      <c r="V20" s="4"/>
    </row>
    <row r="21" spans="3:22" ht="25.8">
      <c r="C21" s="6"/>
      <c r="D21" s="6" t="s">
        <v>1</v>
      </c>
      <c r="E21" s="6"/>
      <c r="F21" s="6"/>
      <c r="G21" s="6"/>
      <c r="H21" s="6"/>
      <c r="I21" s="6"/>
      <c r="J21" s="6"/>
      <c r="K21" s="6"/>
      <c r="L21" s="6"/>
      <c r="M21" s="6"/>
      <c r="N21" s="6"/>
      <c r="O21" s="6"/>
      <c r="P21" s="6"/>
      <c r="Q21" s="6"/>
      <c r="R21" s="5"/>
      <c r="S21" s="4"/>
      <c r="T21" s="4"/>
      <c r="U21" s="4"/>
      <c r="V21" s="4"/>
    </row>
    <row r="22" spans="3:22" ht="25.8">
      <c r="C22" s="6"/>
      <c r="D22" s="6" t="s">
        <v>2</v>
      </c>
      <c r="E22" s="6"/>
      <c r="F22" s="6"/>
      <c r="G22" s="6"/>
      <c r="H22" s="6"/>
      <c r="I22" s="6"/>
      <c r="J22" s="6"/>
      <c r="K22" s="6"/>
      <c r="L22" s="6"/>
      <c r="M22" s="6"/>
      <c r="N22" s="6"/>
      <c r="O22" s="6"/>
      <c r="P22" s="6"/>
      <c r="Q22" s="6"/>
      <c r="R22" s="5"/>
      <c r="S22" s="4"/>
      <c r="T22" s="4"/>
      <c r="U22" s="4"/>
      <c r="V22" s="4"/>
    </row>
    <row r="23" spans="3:22" ht="25.8">
      <c r="C23" s="6"/>
      <c r="D23" s="6" t="s">
        <v>3</v>
      </c>
      <c r="E23" s="6"/>
      <c r="F23" s="6"/>
      <c r="G23" s="6"/>
      <c r="H23" s="6"/>
      <c r="I23" s="6"/>
      <c r="J23" s="6"/>
      <c r="K23" s="6"/>
      <c r="L23" s="6"/>
      <c r="M23" s="6"/>
      <c r="N23" s="6"/>
      <c r="O23" s="6"/>
      <c r="P23" s="6"/>
      <c r="Q23" s="6"/>
      <c r="R23" s="5"/>
      <c r="S23" s="4"/>
      <c r="T23" s="4"/>
      <c r="U23" s="4"/>
      <c r="V23" s="4"/>
    </row>
    <row r="24" spans="3:22" ht="25.8">
      <c r="C24" s="6"/>
      <c r="D24" s="6" t="s">
        <v>4</v>
      </c>
      <c r="E24" s="6"/>
      <c r="F24" s="6"/>
      <c r="G24" s="6"/>
      <c r="H24" s="6"/>
      <c r="I24" s="6"/>
      <c r="J24" s="6"/>
      <c r="K24" s="6"/>
      <c r="L24" s="6"/>
      <c r="M24" s="6"/>
      <c r="N24" s="6"/>
      <c r="O24" s="6"/>
      <c r="P24" s="6"/>
      <c r="Q24" s="6"/>
      <c r="R24" s="5"/>
      <c r="S24" s="4"/>
      <c r="T24" s="4"/>
      <c r="U24" s="4"/>
      <c r="V24" s="4"/>
    </row>
    <row r="25" spans="3:22" ht="25.8">
      <c r="C25" s="6"/>
      <c r="D25" s="6" t="s">
        <v>5</v>
      </c>
      <c r="E25" s="6"/>
      <c r="F25" s="6"/>
      <c r="G25" s="6"/>
      <c r="H25" s="6"/>
      <c r="I25" s="6"/>
      <c r="J25" s="6"/>
      <c r="K25" s="6"/>
      <c r="L25" s="6"/>
      <c r="M25" s="6"/>
      <c r="N25" s="6"/>
      <c r="O25" s="6"/>
      <c r="P25" s="6"/>
      <c r="Q25" s="6"/>
      <c r="R25" s="5"/>
      <c r="S25" s="4"/>
      <c r="T25" s="4"/>
      <c r="U25" s="4"/>
      <c r="V25" s="4"/>
    </row>
    <row r="26" spans="3:22" ht="25.8">
      <c r="C26" s="6"/>
      <c r="D26" s="6" t="s">
        <v>6</v>
      </c>
      <c r="E26" s="6"/>
      <c r="F26" s="6"/>
      <c r="G26" s="6"/>
      <c r="H26" s="6"/>
      <c r="I26" s="6"/>
      <c r="J26" s="6"/>
      <c r="K26" s="6"/>
      <c r="L26" s="6"/>
      <c r="M26" s="6"/>
      <c r="N26" s="6"/>
      <c r="O26" s="6"/>
      <c r="P26" s="6"/>
      <c r="Q26" s="6"/>
      <c r="R26" s="5"/>
      <c r="S26" s="4"/>
      <c r="T26" s="4"/>
      <c r="U26" s="4"/>
      <c r="V26" s="4"/>
    </row>
    <row r="27" spans="3:22" ht="14.4" customHeight="1">
      <c r="C27" s="3"/>
      <c r="D27" s="3"/>
      <c r="E27" s="3"/>
      <c r="F27" s="3"/>
      <c r="G27" s="3"/>
      <c r="H27" s="3"/>
      <c r="I27" s="3"/>
      <c r="J27" s="3"/>
      <c r="K27" s="3"/>
      <c r="L27" s="3"/>
      <c r="M27" s="3"/>
      <c r="N27" s="3"/>
      <c r="O27" s="3"/>
      <c r="P27" s="3"/>
      <c r="Q27" s="3"/>
      <c r="R27" s="3"/>
      <c r="S27" s="3"/>
      <c r="T27" s="3"/>
      <c r="U27" s="3"/>
      <c r="V27" s="3"/>
    </row>
    <row r="28" spans="3:22" ht="14.4" customHeight="1">
      <c r="C28" s="3"/>
      <c r="D28" s="3"/>
      <c r="E28" s="3"/>
      <c r="F28" s="3"/>
      <c r="G28" s="3"/>
      <c r="H28" s="3"/>
      <c r="I28" s="3"/>
      <c r="J28" s="3"/>
      <c r="K28" s="3"/>
      <c r="L28" s="3"/>
      <c r="M28" s="3"/>
      <c r="N28" s="3"/>
      <c r="O28" s="3"/>
      <c r="P28" s="3"/>
      <c r="Q28" s="3"/>
      <c r="R28" s="3"/>
      <c r="S28" s="3"/>
      <c r="T28" s="3"/>
      <c r="U28" s="3"/>
      <c r="V28" s="3"/>
    </row>
    <row r="29" spans="3:22">
      <c r="C29" s="3"/>
      <c r="D29" s="3"/>
      <c r="E29" s="3"/>
      <c r="F29" s="3"/>
      <c r="G29" s="3"/>
      <c r="H29" s="3"/>
      <c r="I29" s="3"/>
      <c r="J29" s="3"/>
      <c r="K29" s="3"/>
      <c r="L29" s="3"/>
      <c r="M29" s="3"/>
      <c r="N29" s="3"/>
      <c r="O29" s="3"/>
      <c r="P29" s="3"/>
      <c r="Q29" s="3"/>
      <c r="R29" s="3"/>
      <c r="S29" s="3"/>
      <c r="T29" s="3"/>
      <c r="U29" s="3"/>
      <c r="V29" s="3"/>
    </row>
    <row r="30" spans="3:22">
      <c r="C30" s="3"/>
      <c r="D30" s="3"/>
      <c r="E30" s="3"/>
      <c r="F30" s="3"/>
      <c r="G30" s="3"/>
      <c r="H30" s="3"/>
      <c r="I30" s="3"/>
      <c r="J30" s="3"/>
      <c r="K30" s="3"/>
      <c r="L30" s="3"/>
      <c r="M30" s="3"/>
      <c r="N30" s="3"/>
      <c r="O30" s="3"/>
      <c r="P30" s="3"/>
      <c r="Q30" s="3"/>
      <c r="R30" s="3"/>
      <c r="S30" s="3"/>
      <c r="T30" s="3"/>
      <c r="U30" s="3"/>
      <c r="V30" s="3"/>
    </row>
    <row r="31" spans="3:22">
      <c r="C31" s="3"/>
      <c r="D31" s="3"/>
      <c r="E31" s="3"/>
      <c r="F31" s="3"/>
      <c r="G31" s="3"/>
      <c r="H31" s="3"/>
      <c r="I31" s="3"/>
      <c r="J31" s="3"/>
      <c r="K31" s="3"/>
      <c r="L31" s="3"/>
      <c r="M31" s="3"/>
      <c r="N31" s="3"/>
      <c r="O31" s="3"/>
      <c r="P31" s="3"/>
      <c r="Q31" s="3"/>
      <c r="R31" s="3"/>
      <c r="S31" s="3"/>
      <c r="T31" s="3"/>
      <c r="U31" s="3"/>
      <c r="V31" s="3"/>
    </row>
    <row r="32" spans="3:22">
      <c r="C32" s="3"/>
      <c r="D32" s="3"/>
      <c r="E32" s="3"/>
      <c r="F32" s="3"/>
      <c r="G32" s="3"/>
      <c r="H32" s="3"/>
      <c r="I32" s="3"/>
      <c r="J32" s="3"/>
      <c r="K32" s="3"/>
      <c r="L32" s="3"/>
      <c r="M32" s="3"/>
      <c r="N32" s="3"/>
      <c r="O32" s="3"/>
      <c r="P32" s="3"/>
      <c r="Q32" s="3"/>
      <c r="R32" s="3"/>
      <c r="S32" s="3"/>
      <c r="T32" s="3"/>
      <c r="U32" s="3"/>
      <c r="V32" s="3"/>
    </row>
    <row r="33" spans="3:22">
      <c r="C33" s="3"/>
      <c r="D33" s="3"/>
      <c r="E33" s="3"/>
      <c r="F33" s="3"/>
      <c r="G33" s="3"/>
      <c r="H33" s="3"/>
      <c r="I33" s="3"/>
      <c r="J33" s="3"/>
      <c r="K33" s="3"/>
      <c r="L33" s="3"/>
      <c r="M33" s="3"/>
      <c r="N33" s="3"/>
      <c r="O33" s="3"/>
      <c r="P33" s="3"/>
      <c r="Q33" s="3"/>
      <c r="R33" s="3"/>
      <c r="S33" s="3"/>
      <c r="T33" s="3"/>
      <c r="U33" s="3"/>
      <c r="V33" s="3"/>
    </row>
    <row r="34" spans="3:22">
      <c r="C34" s="3"/>
      <c r="D34" s="3"/>
      <c r="E34" s="3"/>
      <c r="F34" s="3"/>
      <c r="G34" s="3"/>
      <c r="H34" s="3"/>
      <c r="I34" s="3"/>
      <c r="J34" s="3"/>
      <c r="K34" s="3"/>
      <c r="L34" s="3"/>
      <c r="M34" s="3"/>
      <c r="N34" s="3"/>
      <c r="O34" s="3"/>
      <c r="P34" s="3"/>
      <c r="Q34" s="3"/>
      <c r="R34" s="3"/>
      <c r="S34" s="3"/>
      <c r="T34" s="3"/>
      <c r="U34" s="3"/>
      <c r="V34" s="3"/>
    </row>
    <row r="35" spans="3:22">
      <c r="C35" s="3"/>
      <c r="D35" s="3"/>
      <c r="E35" s="3"/>
      <c r="F35" s="3"/>
      <c r="G35" s="3"/>
      <c r="H35" s="3"/>
      <c r="I35" s="3"/>
      <c r="J35" s="3"/>
      <c r="K35" s="3"/>
      <c r="L35" s="3"/>
      <c r="M35" s="3"/>
      <c r="N35" s="3"/>
      <c r="O35" s="3"/>
      <c r="P35" s="3"/>
      <c r="Q35" s="3"/>
      <c r="R35" s="3"/>
      <c r="S35" s="3"/>
      <c r="T35" s="3"/>
      <c r="U35" s="3"/>
      <c r="V35"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17499-D080-42AA-A3AA-93DCC409FE8E}">
  <dimension ref="A1:E73"/>
  <sheetViews>
    <sheetView topLeftCell="A40" zoomScale="70" zoomScaleNormal="70" workbookViewId="0">
      <selection activeCell="AD32" sqref="AD26:AD32"/>
    </sheetView>
  </sheetViews>
  <sheetFormatPr defaultRowHeight="14.4"/>
  <cols>
    <col min="1" max="5" width="25.77734375" customWidth="1"/>
  </cols>
  <sheetData>
    <row r="1" spans="1:5">
      <c r="A1" s="67" t="s">
        <v>7</v>
      </c>
      <c r="B1" s="68"/>
      <c r="C1" s="68"/>
      <c r="D1" s="68"/>
      <c r="E1" s="68"/>
    </row>
    <row r="2" spans="1:5">
      <c r="A2" s="68"/>
      <c r="B2" s="68"/>
      <c r="C2" s="68"/>
      <c r="D2" s="68"/>
      <c r="E2" s="68"/>
    </row>
    <row r="3" spans="1:5" ht="28.8">
      <c r="A3" s="7" t="s">
        <v>8</v>
      </c>
      <c r="B3" s="8" t="s">
        <v>9</v>
      </c>
      <c r="C3" s="8" t="s">
        <v>10</v>
      </c>
      <c r="D3" s="8" t="s">
        <v>11</v>
      </c>
      <c r="E3" s="8" t="s">
        <v>12</v>
      </c>
    </row>
    <row r="4" spans="1:5" ht="18">
      <c r="A4" s="14" t="s">
        <v>13</v>
      </c>
      <c r="B4" s="2"/>
      <c r="C4" s="2"/>
      <c r="D4" s="2"/>
      <c r="E4" s="2"/>
    </row>
    <row r="5" spans="1:5">
      <c r="A5" s="10" t="s">
        <v>14</v>
      </c>
      <c r="B5" s="11">
        <v>605881</v>
      </c>
      <c r="C5" s="11">
        <v>642637</v>
      </c>
      <c r="D5" s="11">
        <v>674538</v>
      </c>
      <c r="E5" s="11">
        <v>706413</v>
      </c>
    </row>
    <row r="6" spans="1:5">
      <c r="A6" s="10" t="s">
        <v>15</v>
      </c>
      <c r="B6" s="11">
        <v>5408</v>
      </c>
      <c r="C6" s="11">
        <v>5488</v>
      </c>
      <c r="D6" s="11">
        <v>6447</v>
      </c>
      <c r="E6" s="11">
        <v>6750</v>
      </c>
    </row>
    <row r="7" spans="1:5">
      <c r="A7" s="10" t="s">
        <v>16</v>
      </c>
      <c r="B7" s="9">
        <f>SUM(B5,B6)</f>
        <v>611289</v>
      </c>
      <c r="C7" s="9">
        <f t="shared" ref="C7:E7" si="0">SUM(C5,C6)</f>
        <v>648125</v>
      </c>
      <c r="D7" s="9">
        <f>SUM(D5,D6)</f>
        <v>680985</v>
      </c>
      <c r="E7" s="9">
        <f t="shared" si="0"/>
        <v>713163</v>
      </c>
    </row>
    <row r="8" spans="1:5">
      <c r="A8" s="10" t="s">
        <v>17</v>
      </c>
      <c r="B8" s="2" t="s">
        <v>43</v>
      </c>
      <c r="C8" s="15">
        <f>C7/B7-1</f>
        <v>6.02595499019285E-2</v>
      </c>
      <c r="D8" s="15">
        <f t="shared" ref="D8:E8" si="1">D7/C7-1</f>
        <v>5.0700096432015451E-2</v>
      </c>
      <c r="E8" s="15">
        <f t="shared" si="1"/>
        <v>4.7252142117667706E-2</v>
      </c>
    </row>
    <row r="9" spans="1:5" ht="18">
      <c r="A9" s="14" t="s">
        <v>18</v>
      </c>
      <c r="B9" s="2"/>
      <c r="C9" s="2"/>
      <c r="D9" s="2"/>
      <c r="E9" s="2"/>
    </row>
    <row r="10" spans="1:5">
      <c r="A10" s="10" t="s">
        <v>19</v>
      </c>
      <c r="B10" s="11">
        <v>463721</v>
      </c>
      <c r="C10" s="11">
        <v>490142</v>
      </c>
      <c r="D10" s="11">
        <v>511753</v>
      </c>
      <c r="E10" s="11">
        <v>535395</v>
      </c>
    </row>
    <row r="11" spans="1:5">
      <c r="A11" s="10" t="s">
        <v>20</v>
      </c>
      <c r="B11" s="9">
        <f>B5-B10</f>
        <v>142160</v>
      </c>
      <c r="C11" s="9">
        <f t="shared" ref="C11:E11" si="2">C5-C10</f>
        <v>152495</v>
      </c>
      <c r="D11" s="9">
        <f t="shared" si="2"/>
        <v>162785</v>
      </c>
      <c r="E11" s="9">
        <f t="shared" si="2"/>
        <v>171018</v>
      </c>
    </row>
    <row r="12" spans="1:5">
      <c r="A12" s="10" t="s">
        <v>21</v>
      </c>
      <c r="B12" s="15">
        <f>B11/B5</f>
        <v>0.23463353364769649</v>
      </c>
      <c r="C12" s="15">
        <f t="shared" ref="C12:E12" si="3">C11/C5</f>
        <v>0.23729570504032604</v>
      </c>
      <c r="D12" s="15">
        <f t="shared" si="3"/>
        <v>0.24132813866676156</v>
      </c>
      <c r="E12" s="15">
        <f t="shared" si="3"/>
        <v>0.24209350620670911</v>
      </c>
    </row>
    <row r="13" spans="1:5" ht="18">
      <c r="A13" s="14" t="s">
        <v>22</v>
      </c>
      <c r="B13" s="2"/>
      <c r="C13" s="2"/>
      <c r="D13" s="2"/>
      <c r="E13" s="2"/>
    </row>
    <row r="14" spans="1:5">
      <c r="A14" s="10" t="s">
        <v>23</v>
      </c>
      <c r="B14" s="11">
        <v>127140</v>
      </c>
      <c r="C14" s="11">
        <v>130971</v>
      </c>
      <c r="D14" s="11">
        <v>139884</v>
      </c>
      <c r="E14" s="11">
        <v>147943</v>
      </c>
    </row>
    <row r="15" spans="1:5">
      <c r="A15" s="10" t="s">
        <v>24</v>
      </c>
      <c r="B15" s="15">
        <f>B14/B5</f>
        <v>0.2098431870284759</v>
      </c>
      <c r="C15" s="15">
        <f t="shared" ref="C15:E15" si="4">C14/C5</f>
        <v>0.20380245768606539</v>
      </c>
      <c r="D15" s="15">
        <f t="shared" si="4"/>
        <v>0.2073774939291782</v>
      </c>
      <c r="E15" s="15">
        <f t="shared" si="4"/>
        <v>0.20942847880772297</v>
      </c>
    </row>
    <row r="16" spans="1:5">
      <c r="A16" s="10" t="s">
        <v>25</v>
      </c>
      <c r="B16" s="11">
        <v>20428</v>
      </c>
      <c r="C16" s="11">
        <v>27012</v>
      </c>
      <c r="D16" s="11">
        <v>29348</v>
      </c>
      <c r="E16" s="11">
        <v>29825</v>
      </c>
    </row>
    <row r="17" spans="1:5">
      <c r="A17" s="10" t="s">
        <v>26</v>
      </c>
      <c r="B17" s="15">
        <f>B16/B7</f>
        <v>3.3417908714208827E-2</v>
      </c>
      <c r="C17" s="15">
        <f t="shared" ref="C17:E17" si="5">C16/C7</f>
        <v>4.16771456123433E-2</v>
      </c>
      <c r="D17" s="15">
        <f t="shared" si="5"/>
        <v>4.3096397130626962E-2</v>
      </c>
      <c r="E17" s="15">
        <f t="shared" si="5"/>
        <v>4.1820733829433104E-2</v>
      </c>
    </row>
    <row r="18" spans="1:5" ht="18">
      <c r="A18" s="14" t="s">
        <v>27</v>
      </c>
      <c r="B18" s="2"/>
      <c r="C18" s="2"/>
      <c r="D18" s="2"/>
      <c r="E18" s="2"/>
    </row>
    <row r="19" spans="1:5">
      <c r="A19" s="10" t="s">
        <v>28</v>
      </c>
      <c r="B19" s="11">
        <v>1787</v>
      </c>
      <c r="C19" s="11">
        <v>2259</v>
      </c>
      <c r="D19" s="11">
        <v>2249</v>
      </c>
      <c r="E19" s="11">
        <v>2318</v>
      </c>
    </row>
    <row r="20" spans="1:5" ht="28.8">
      <c r="A20" s="13" t="s">
        <v>29</v>
      </c>
      <c r="B20" s="12">
        <v>341</v>
      </c>
      <c r="C20" s="12">
        <v>424</v>
      </c>
      <c r="D20" s="12">
        <v>479</v>
      </c>
      <c r="E20" s="12">
        <v>481</v>
      </c>
    </row>
    <row r="21" spans="1:5">
      <c r="A21" s="10" t="s">
        <v>30</v>
      </c>
      <c r="B21" s="11">
        <v>-254</v>
      </c>
      <c r="C21" s="11">
        <v>-546</v>
      </c>
      <c r="D21" s="11">
        <v>-483</v>
      </c>
      <c r="E21" s="11">
        <v>-368</v>
      </c>
    </row>
    <row r="22" spans="1:5">
      <c r="A22" s="10" t="s">
        <v>31</v>
      </c>
      <c r="B22" s="11">
        <v>1874</v>
      </c>
      <c r="C22" s="11">
        <v>2137</v>
      </c>
      <c r="D22" s="11">
        <v>2245</v>
      </c>
      <c r="E22" s="11">
        <v>2431</v>
      </c>
    </row>
    <row r="23" spans="1:5">
      <c r="A23" s="10" t="s">
        <v>32</v>
      </c>
      <c r="B23" s="11">
        <v>1538</v>
      </c>
      <c r="C23" s="11">
        <v>3027</v>
      </c>
      <c r="D23" s="12">
        <v>794</v>
      </c>
      <c r="E23" s="11">
        <v>-2075</v>
      </c>
    </row>
    <row r="24" spans="1:5">
      <c r="A24" s="10" t="s">
        <v>33</v>
      </c>
      <c r="B24" s="11">
        <v>17016</v>
      </c>
      <c r="C24" s="11">
        <v>21848</v>
      </c>
      <c r="D24" s="11">
        <v>26309</v>
      </c>
      <c r="E24" s="11">
        <v>29469</v>
      </c>
    </row>
    <row r="25" spans="1:5" ht="18">
      <c r="A25" s="14" t="s">
        <v>34</v>
      </c>
      <c r="B25" s="2"/>
      <c r="C25" s="2"/>
      <c r="D25" s="2"/>
      <c r="E25" s="2"/>
    </row>
    <row r="26" spans="1:5">
      <c r="A26" s="10" t="s">
        <v>35</v>
      </c>
      <c r="B26" s="11">
        <v>5724</v>
      </c>
      <c r="C26" s="11">
        <v>5578</v>
      </c>
      <c r="D26" s="11">
        <v>6152</v>
      </c>
      <c r="E26" s="11">
        <v>7199</v>
      </c>
    </row>
    <row r="27" spans="1:5">
      <c r="A27" s="10" t="s">
        <v>36</v>
      </c>
      <c r="B27" s="15">
        <f>B26/B24</f>
        <v>0.33638928067700985</v>
      </c>
      <c r="C27" s="15">
        <f t="shared" ref="C27:E27" si="6">C26/C24</f>
        <v>0.25530941047235445</v>
      </c>
      <c r="D27" s="15">
        <f t="shared" si="6"/>
        <v>0.23383632977308144</v>
      </c>
      <c r="E27" s="15">
        <f t="shared" si="6"/>
        <v>0.24429061047202144</v>
      </c>
    </row>
    <row r="28" spans="1:5">
      <c r="A28" s="10" t="s">
        <v>37</v>
      </c>
      <c r="B28" s="11">
        <v>11292</v>
      </c>
      <c r="C28" s="11">
        <v>16270</v>
      </c>
      <c r="D28" s="11">
        <v>20157</v>
      </c>
      <c r="E28" s="11">
        <v>22270</v>
      </c>
    </row>
    <row r="29" spans="1:5" ht="28.8">
      <c r="A29" s="13" t="s">
        <v>38</v>
      </c>
      <c r="B29" s="12">
        <v>388</v>
      </c>
      <c r="C29" s="12">
        <v>-759</v>
      </c>
      <c r="D29" s="12">
        <v>-721</v>
      </c>
      <c r="E29" s="12">
        <v>-377</v>
      </c>
    </row>
    <row r="30" spans="1:5" ht="28.8">
      <c r="A30" s="13" t="s">
        <v>39</v>
      </c>
      <c r="B30" s="11">
        <v>11680</v>
      </c>
      <c r="C30" s="11">
        <v>15511</v>
      </c>
      <c r="D30" s="11">
        <v>19436</v>
      </c>
      <c r="E30" s="11">
        <v>21893</v>
      </c>
    </row>
    <row r="31" spans="1:5">
      <c r="A31" s="10" t="s">
        <v>40</v>
      </c>
      <c r="B31" s="15">
        <f>B30/B7</f>
        <v>1.9107165350595218E-2</v>
      </c>
      <c r="C31" s="15">
        <f t="shared" ref="C31:E31" si="7">C30/C7</f>
        <v>2.3932111861137896E-2</v>
      </c>
      <c r="D31" s="15">
        <f t="shared" si="7"/>
        <v>2.8541010448100913E-2</v>
      </c>
      <c r="E31" s="15">
        <f t="shared" si="7"/>
        <v>3.0698451826581021E-2</v>
      </c>
    </row>
    <row r="32" spans="1:5">
      <c r="A32" s="10" t="s">
        <v>41</v>
      </c>
      <c r="B32" s="12">
        <v>1.42</v>
      </c>
      <c r="C32" s="12">
        <v>1.91</v>
      </c>
      <c r="D32" s="12">
        <v>2.41</v>
      </c>
      <c r="E32" s="12">
        <v>2.73</v>
      </c>
    </row>
    <row r="33" spans="1:5">
      <c r="A33" s="10" t="s">
        <v>42</v>
      </c>
      <c r="B33" s="11">
        <v>8202</v>
      </c>
      <c r="C33" s="11">
        <v>8108</v>
      </c>
      <c r="D33" s="11">
        <v>8081</v>
      </c>
      <c r="E33" s="11">
        <v>8022</v>
      </c>
    </row>
    <row r="40" spans="1:5">
      <c r="A40" s="67" t="s">
        <v>44</v>
      </c>
      <c r="B40" s="68"/>
      <c r="C40" s="68"/>
      <c r="D40" s="68"/>
      <c r="E40" s="68"/>
    </row>
    <row r="41" spans="1:5">
      <c r="A41" s="68"/>
      <c r="B41" s="68"/>
      <c r="C41" s="68"/>
      <c r="D41" s="68"/>
      <c r="E41" s="68"/>
    </row>
    <row r="42" spans="1:5" ht="28.8">
      <c r="A42" s="7" t="s">
        <v>8</v>
      </c>
      <c r="B42" s="8" t="s">
        <v>9</v>
      </c>
      <c r="C42" s="8" t="s">
        <v>10</v>
      </c>
      <c r="D42" s="8" t="s">
        <v>11</v>
      </c>
      <c r="E42" s="8" t="s">
        <v>12</v>
      </c>
    </row>
    <row r="43" spans="1:5" ht="36">
      <c r="A43" s="22" t="s">
        <v>45</v>
      </c>
      <c r="B43" s="16"/>
      <c r="C43" s="16"/>
      <c r="D43" s="16"/>
      <c r="E43" s="16"/>
    </row>
    <row r="44" spans="1:5">
      <c r="A44" s="18" t="s">
        <v>46</v>
      </c>
      <c r="B44" s="19">
        <v>10945</v>
      </c>
      <c r="C44" s="19">
        <v>11853</v>
      </c>
      <c r="D44" s="19">
        <v>12973</v>
      </c>
      <c r="E44" s="19">
        <v>14203</v>
      </c>
    </row>
    <row r="45" spans="1:5">
      <c r="A45" s="18" t="s">
        <v>47</v>
      </c>
      <c r="B45" s="19">
        <v>28841</v>
      </c>
      <c r="C45" s="19">
        <v>35726</v>
      </c>
      <c r="D45" s="19">
        <v>36443</v>
      </c>
      <c r="E45" s="19">
        <v>41565</v>
      </c>
    </row>
    <row r="46" spans="1:5" ht="28.8">
      <c r="A46" s="18" t="s">
        <v>48</v>
      </c>
      <c r="B46" s="19">
        <v>-16857</v>
      </c>
      <c r="C46" s="19">
        <v>-20606</v>
      </c>
      <c r="D46" s="19">
        <v>-23783</v>
      </c>
      <c r="E46" s="19">
        <v>-26642</v>
      </c>
    </row>
    <row r="47" spans="1:5">
      <c r="A47" s="18" t="s">
        <v>49</v>
      </c>
      <c r="B47" s="17">
        <f>B45+B46</f>
        <v>11984</v>
      </c>
      <c r="C47" s="17">
        <f t="shared" ref="C47:E47" si="8">C45+C46</f>
        <v>15120</v>
      </c>
      <c r="D47" s="17">
        <f t="shared" si="8"/>
        <v>12660</v>
      </c>
      <c r="E47" s="17">
        <f t="shared" si="8"/>
        <v>14923</v>
      </c>
    </row>
    <row r="48" spans="1:5">
      <c r="A48" s="18" t="s">
        <v>50</v>
      </c>
      <c r="B48" s="21">
        <f>ABS(B46)/B7</f>
        <v>2.7576154650255445E-2</v>
      </c>
      <c r="C48" s="21">
        <f t="shared" ref="C48:E48" si="9">ABS(C46)/C7</f>
        <v>3.1793249758919964E-2</v>
      </c>
      <c r="D48" s="21">
        <f t="shared" si="9"/>
        <v>3.4924410963530765E-2</v>
      </c>
      <c r="E48" s="21">
        <f t="shared" si="9"/>
        <v>3.73575185476532E-2</v>
      </c>
    </row>
    <row r="49" spans="1:5">
      <c r="A49" s="18" t="s">
        <v>51</v>
      </c>
      <c r="B49" s="21">
        <f>B47/B7</f>
        <v>1.96044751336929E-2</v>
      </c>
      <c r="C49" s="21">
        <f t="shared" ref="C49:E49" si="10">C47/C7</f>
        <v>2.3328833172613309E-2</v>
      </c>
      <c r="D49" s="21">
        <f t="shared" si="10"/>
        <v>1.8590717857221526E-2</v>
      </c>
      <c r="E49" s="21">
        <f t="shared" si="10"/>
        <v>2.0925090056550886E-2</v>
      </c>
    </row>
    <row r="50" spans="1:5" ht="28.8">
      <c r="A50" s="18" t="s">
        <v>52</v>
      </c>
      <c r="B50" s="19">
        <v>-17722</v>
      </c>
      <c r="C50" s="19">
        <v>-21287</v>
      </c>
      <c r="D50" s="19">
        <v>-21379</v>
      </c>
      <c r="E50" s="19">
        <v>-26350</v>
      </c>
    </row>
    <row r="51" spans="1:5" ht="28.8">
      <c r="A51" s="18" t="s">
        <v>53</v>
      </c>
      <c r="B51" s="19">
        <v>-17039</v>
      </c>
      <c r="C51" s="19">
        <v>-13414</v>
      </c>
      <c r="D51" s="19">
        <v>-14822</v>
      </c>
      <c r="E51" s="19">
        <v>-13553</v>
      </c>
    </row>
    <row r="52" spans="1:5">
      <c r="A52" s="18" t="s">
        <v>54</v>
      </c>
      <c r="B52" s="19">
        <v>3310</v>
      </c>
      <c r="C52" s="19">
        <v>5879</v>
      </c>
      <c r="D52" s="19">
        <v>5884</v>
      </c>
      <c r="E52" s="19">
        <v>5364</v>
      </c>
    </row>
    <row r="53" spans="1:5">
      <c r="A53" s="18" t="s">
        <v>55</v>
      </c>
      <c r="B53" s="19">
        <v>2051</v>
      </c>
      <c r="C53" s="19">
        <v>2519</v>
      </c>
      <c r="D53" s="19">
        <v>2739</v>
      </c>
      <c r="E53" s="19">
        <v>2793</v>
      </c>
    </row>
    <row r="60" spans="1:5">
      <c r="A60" s="67" t="s">
        <v>56</v>
      </c>
      <c r="B60" s="68"/>
      <c r="C60" s="68"/>
      <c r="D60" s="68"/>
      <c r="E60" s="68"/>
    </row>
    <row r="61" spans="1:5">
      <c r="A61" s="68"/>
      <c r="B61" s="68"/>
      <c r="C61" s="68"/>
      <c r="D61" s="68"/>
      <c r="E61" s="68"/>
    </row>
    <row r="62" spans="1:5" ht="28.8">
      <c r="A62" s="7" t="s">
        <v>8</v>
      </c>
      <c r="B62" s="8" t="s">
        <v>9</v>
      </c>
      <c r="C62" s="8" t="s">
        <v>10</v>
      </c>
      <c r="D62" s="8" t="s">
        <v>11</v>
      </c>
      <c r="E62" s="8" t="s">
        <v>12</v>
      </c>
    </row>
    <row r="63" spans="1:5" ht="18">
      <c r="A63" s="22" t="s">
        <v>57</v>
      </c>
      <c r="B63" s="16"/>
      <c r="C63" s="16"/>
      <c r="D63" s="16"/>
      <c r="E63" s="16"/>
    </row>
    <row r="64" spans="1:5">
      <c r="A64" s="18" t="s">
        <v>58</v>
      </c>
      <c r="B64" s="19">
        <v>420553</v>
      </c>
      <c r="C64" s="19">
        <v>441817</v>
      </c>
      <c r="D64" s="19">
        <v>462415</v>
      </c>
      <c r="E64" s="19">
        <v>482975</v>
      </c>
    </row>
    <row r="65" spans="1:5" ht="28.8">
      <c r="A65" s="18" t="s">
        <v>59</v>
      </c>
      <c r="B65" s="19">
        <v>100983</v>
      </c>
      <c r="C65" s="19">
        <v>114641</v>
      </c>
      <c r="D65" s="19">
        <v>121885</v>
      </c>
      <c r="E65" s="19">
        <v>130423</v>
      </c>
    </row>
    <row r="66" spans="1:5">
      <c r="A66" s="18" t="s">
        <v>60</v>
      </c>
      <c r="B66" s="19">
        <v>84345</v>
      </c>
      <c r="C66" s="19">
        <v>86179</v>
      </c>
      <c r="D66" s="19">
        <v>90238</v>
      </c>
      <c r="E66" s="19">
        <v>93015</v>
      </c>
    </row>
    <row r="67" spans="1:5">
      <c r="A67" s="18" t="s">
        <v>61</v>
      </c>
      <c r="B67" s="23">
        <f>SUM(B64:B66)</f>
        <v>605881</v>
      </c>
      <c r="C67" s="23">
        <f t="shared" ref="C67:E67" si="11">SUM(C64:C66)</f>
        <v>642637</v>
      </c>
      <c r="D67" s="23">
        <f t="shared" si="11"/>
        <v>674538</v>
      </c>
      <c r="E67" s="23">
        <f t="shared" si="11"/>
        <v>706413</v>
      </c>
    </row>
    <row r="68" spans="1:5" ht="36">
      <c r="A68" s="22" t="s">
        <v>62</v>
      </c>
      <c r="B68" s="20"/>
      <c r="C68" s="20"/>
      <c r="D68" s="20"/>
      <c r="E68" s="20"/>
    </row>
    <row r="69" spans="1:5" ht="28.8">
      <c r="A69" s="18" t="s">
        <v>63</v>
      </c>
      <c r="B69" s="19">
        <v>20620</v>
      </c>
      <c r="C69" s="19">
        <v>22154</v>
      </c>
      <c r="D69" s="19">
        <v>23882</v>
      </c>
      <c r="E69" s="19">
        <v>25158</v>
      </c>
    </row>
    <row r="70" spans="1:5" ht="28.8">
      <c r="A70" s="18" t="s">
        <v>64</v>
      </c>
      <c r="B70" s="19">
        <v>2965</v>
      </c>
      <c r="C70" s="19">
        <v>4909</v>
      </c>
      <c r="D70" s="19">
        <v>5501</v>
      </c>
      <c r="E70" s="19">
        <v>5103</v>
      </c>
    </row>
    <row r="71" spans="1:5" ht="28.8">
      <c r="A71" s="18" t="s">
        <v>65</v>
      </c>
      <c r="B71" s="19">
        <v>1964</v>
      </c>
      <c r="C71" s="19">
        <v>2192</v>
      </c>
      <c r="D71" s="19">
        <v>2404</v>
      </c>
      <c r="E71" s="19">
        <v>2442</v>
      </c>
    </row>
    <row r="72" spans="1:5" ht="28.8">
      <c r="A72" s="18" t="s">
        <v>66</v>
      </c>
      <c r="B72" s="23">
        <f>SUM(B69:B71)</f>
        <v>25549</v>
      </c>
      <c r="C72" s="23">
        <f t="shared" ref="C72:E72" si="12">SUM(C69:C71)</f>
        <v>29255</v>
      </c>
      <c r="D72" s="23">
        <f t="shared" si="12"/>
        <v>31787</v>
      </c>
      <c r="E72" s="23">
        <f t="shared" si="12"/>
        <v>32703</v>
      </c>
    </row>
    <row r="73" spans="1:5" ht="28.8">
      <c r="A73" s="18" t="s">
        <v>67</v>
      </c>
      <c r="B73" s="17">
        <f>B16-B72</f>
        <v>-5121</v>
      </c>
      <c r="C73" s="17">
        <f t="shared" ref="C73:E73" si="13">C16-C72</f>
        <v>-2243</v>
      </c>
      <c r="D73" s="17">
        <f t="shared" si="13"/>
        <v>-2439</v>
      </c>
      <c r="E73" s="17">
        <f t="shared" si="13"/>
        <v>-2878</v>
      </c>
    </row>
  </sheetData>
  <mergeCells count="3">
    <mergeCell ref="A1:E2"/>
    <mergeCell ref="A40:E41"/>
    <mergeCell ref="A60:E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3F01B-E416-4EC5-9CAA-715A482BCDF0}">
  <dimension ref="A1:G11"/>
  <sheetViews>
    <sheetView workbookViewId="0">
      <selection activeCell="I23" sqref="I23"/>
    </sheetView>
  </sheetViews>
  <sheetFormatPr defaultRowHeight="14.4"/>
  <cols>
    <col min="1" max="7" width="15.77734375" customWidth="1"/>
  </cols>
  <sheetData>
    <row r="1" spans="1:7" ht="14.4" customHeight="1">
      <c r="A1" s="67" t="s">
        <v>71</v>
      </c>
      <c r="B1" s="68"/>
      <c r="C1" s="68"/>
      <c r="D1" s="68"/>
      <c r="E1" s="68"/>
      <c r="F1" s="67"/>
      <c r="G1" s="24"/>
    </row>
    <row r="2" spans="1:7">
      <c r="A2" s="68"/>
      <c r="B2" s="68"/>
      <c r="C2" s="68"/>
      <c r="D2" s="68"/>
      <c r="E2" s="68"/>
      <c r="F2" s="67"/>
      <c r="G2" s="24"/>
    </row>
    <row r="3" spans="1:7" ht="43.2">
      <c r="A3" s="7" t="s">
        <v>8</v>
      </c>
      <c r="B3" s="8" t="s">
        <v>9</v>
      </c>
      <c r="C3" s="8" t="s">
        <v>10</v>
      </c>
      <c r="D3" s="8" t="s">
        <v>11</v>
      </c>
      <c r="E3" s="8" t="s">
        <v>12</v>
      </c>
      <c r="F3" s="8" t="s">
        <v>69</v>
      </c>
      <c r="G3" s="7" t="s">
        <v>68</v>
      </c>
    </row>
    <row r="4" spans="1:7">
      <c r="A4" s="8" t="s">
        <v>70</v>
      </c>
      <c r="B4" s="8"/>
      <c r="C4" s="8"/>
      <c r="D4" s="8"/>
      <c r="E4" s="8"/>
      <c r="F4" s="8"/>
      <c r="G4" s="8"/>
    </row>
    <row r="5" spans="1:7" ht="28.8">
      <c r="A5" s="18" t="s">
        <v>17</v>
      </c>
      <c r="B5" s="25" t="str">
        <f>'Historicals '!B8</f>
        <v>-</v>
      </c>
      <c r="C5" s="25">
        <f>'Historicals '!C8</f>
        <v>6.02595499019285E-2</v>
      </c>
      <c r="D5" s="25">
        <f>'Historicals '!D8</f>
        <v>5.0700096432015451E-2</v>
      </c>
      <c r="E5" s="25">
        <f>'Historicals '!E8</f>
        <v>4.7252142117667706E-2</v>
      </c>
      <c r="F5" s="25">
        <f>AVERAGE(C5:E5)</f>
        <v>5.2737262817203888E-2</v>
      </c>
      <c r="G5" s="25">
        <f>F5</f>
        <v>5.2737262817203888E-2</v>
      </c>
    </row>
    <row r="6" spans="1:7">
      <c r="A6" s="18" t="s">
        <v>21</v>
      </c>
      <c r="B6" s="25">
        <f>'Historicals '!B12</f>
        <v>0.23463353364769649</v>
      </c>
      <c r="C6" s="25">
        <f>'Historicals '!C12</f>
        <v>0.23729570504032604</v>
      </c>
      <c r="D6" s="25">
        <f>'Historicals '!D12</f>
        <v>0.24132813866676156</v>
      </c>
      <c r="E6" s="25">
        <f>'Historicals '!E12</f>
        <v>0.24209350620670911</v>
      </c>
      <c r="F6" s="25">
        <f t="shared" ref="F6:F11" si="0">AVERAGE(B6:E6)</f>
        <v>0.23883772089037331</v>
      </c>
      <c r="G6" s="25">
        <f t="shared" ref="G6:G10" si="1">F6</f>
        <v>0.23883772089037331</v>
      </c>
    </row>
    <row r="7" spans="1:7" ht="28.8">
      <c r="A7" s="18" t="s">
        <v>24</v>
      </c>
      <c r="B7" s="25">
        <f>'Historicals '!B15</f>
        <v>0.2098431870284759</v>
      </c>
      <c r="C7" s="25">
        <f>'Historicals '!C15</f>
        <v>0.20380245768606539</v>
      </c>
      <c r="D7" s="25">
        <f>'Historicals '!D15</f>
        <v>0.2073774939291782</v>
      </c>
      <c r="E7" s="25">
        <f>'Historicals '!E15</f>
        <v>0.20942847880772297</v>
      </c>
      <c r="F7" s="25">
        <f t="shared" si="0"/>
        <v>0.20761290436286062</v>
      </c>
      <c r="G7" s="25">
        <f t="shared" si="1"/>
        <v>0.20761290436286062</v>
      </c>
    </row>
    <row r="8" spans="1:7" ht="28.8">
      <c r="A8" s="18" t="s">
        <v>26</v>
      </c>
      <c r="B8" s="25">
        <f>'Historicals '!B17</f>
        <v>3.3417908714208827E-2</v>
      </c>
      <c r="C8" s="25">
        <f>'Historicals '!C17</f>
        <v>4.16771456123433E-2</v>
      </c>
      <c r="D8" s="25">
        <f>'Historicals '!D17</f>
        <v>4.3096397130626962E-2</v>
      </c>
      <c r="E8" s="25">
        <f>'Historicals '!E17</f>
        <v>4.1820733829433104E-2</v>
      </c>
      <c r="F8" s="25">
        <f t="shared" si="0"/>
        <v>4.0003046321653052E-2</v>
      </c>
      <c r="G8" s="25">
        <f t="shared" si="1"/>
        <v>4.0003046321653052E-2</v>
      </c>
    </row>
    <row r="9" spans="1:7" ht="28.8">
      <c r="A9" s="18" t="s">
        <v>36</v>
      </c>
      <c r="B9" s="25">
        <f>'Historicals '!B27</f>
        <v>0.33638928067700985</v>
      </c>
      <c r="C9" s="25">
        <f>'Historicals '!C27</f>
        <v>0.25530941047235445</v>
      </c>
      <c r="D9" s="25">
        <f>'Historicals '!D27</f>
        <v>0.23383632977308144</v>
      </c>
      <c r="E9" s="25">
        <f>'Historicals '!E27</f>
        <v>0.24429061047202144</v>
      </c>
      <c r="F9" s="25">
        <f t="shared" si="0"/>
        <v>0.2674564078486168</v>
      </c>
      <c r="G9" s="25">
        <f t="shared" si="1"/>
        <v>0.2674564078486168</v>
      </c>
    </row>
    <row r="10" spans="1:7" ht="28.8">
      <c r="A10" s="18" t="s">
        <v>50</v>
      </c>
      <c r="B10" s="25">
        <f>'Historicals '!B48</f>
        <v>2.7576154650255445E-2</v>
      </c>
      <c r="C10" s="25">
        <f>'Historicals '!C48</f>
        <v>3.1793249758919964E-2</v>
      </c>
      <c r="D10" s="25">
        <f>'Historicals '!D48</f>
        <v>3.4924410963530765E-2</v>
      </c>
      <c r="E10" s="25">
        <f>'Historicals '!E48</f>
        <v>3.73575185476532E-2</v>
      </c>
      <c r="F10" s="25">
        <f t="shared" si="0"/>
        <v>3.2912833480089845E-2</v>
      </c>
      <c r="G10" s="25">
        <f t="shared" si="1"/>
        <v>3.2912833480089845E-2</v>
      </c>
    </row>
    <row r="11" spans="1:7">
      <c r="A11" s="18" t="s">
        <v>51</v>
      </c>
      <c r="B11" s="27">
        <f>'Historicals '!B49</f>
        <v>1.96044751336929E-2</v>
      </c>
      <c r="C11" s="27">
        <f>'Historicals '!C49</f>
        <v>2.3328833172613309E-2</v>
      </c>
      <c r="D11" s="27">
        <f>'Historicals '!D49</f>
        <v>1.8590717857221526E-2</v>
      </c>
      <c r="E11" s="27">
        <f>'Historicals '!E49</f>
        <v>2.0925090056550886E-2</v>
      </c>
      <c r="F11" s="25">
        <f t="shared" si="0"/>
        <v>2.0612279055019653E-2</v>
      </c>
      <c r="G11" s="25">
        <f>F11</f>
        <v>2.0612279055019653E-2</v>
      </c>
    </row>
  </sheetData>
  <mergeCells count="2">
    <mergeCell ref="A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72EDE-89A7-4308-BD3A-E5AAA8F99B80}">
  <dimension ref="A1:C28"/>
  <sheetViews>
    <sheetView topLeftCell="A13" workbookViewId="0">
      <selection activeCell="K23" sqref="K23"/>
    </sheetView>
  </sheetViews>
  <sheetFormatPr defaultRowHeight="14.4" outlineLevelRow="1"/>
  <cols>
    <col min="1" max="3" width="25.77734375" customWidth="1"/>
  </cols>
  <sheetData>
    <row r="1" spans="1:3" ht="23.4" customHeight="1">
      <c r="A1" s="66" t="s">
        <v>72</v>
      </c>
      <c r="B1" s="66"/>
      <c r="C1" s="66"/>
    </row>
    <row r="2" spans="1:3">
      <c r="A2" s="66"/>
      <c r="B2" s="66"/>
      <c r="C2" s="66"/>
    </row>
    <row r="3" spans="1:3" ht="28.8">
      <c r="A3" s="7" t="s">
        <v>8</v>
      </c>
      <c r="B3" s="8" t="s">
        <v>12</v>
      </c>
      <c r="C3" s="8" t="s">
        <v>72</v>
      </c>
    </row>
    <row r="4" spans="1:3" ht="18">
      <c r="A4" s="28" t="s">
        <v>13</v>
      </c>
      <c r="B4" s="16"/>
      <c r="C4" s="16"/>
    </row>
    <row r="5" spans="1:3">
      <c r="A5" s="18" t="s">
        <v>14</v>
      </c>
      <c r="B5" s="19">
        <v>706413</v>
      </c>
      <c r="C5" s="23">
        <f>B5*(1+C8)</f>
        <v>743852.88899999997</v>
      </c>
    </row>
    <row r="6" spans="1:3">
      <c r="A6" s="18" t="s">
        <v>15</v>
      </c>
      <c r="B6" s="19">
        <v>6750</v>
      </c>
      <c r="C6" s="29">
        <f>B6*(1+C8)</f>
        <v>7107.75</v>
      </c>
    </row>
    <row r="7" spans="1:3">
      <c r="A7" s="18" t="s">
        <v>16</v>
      </c>
      <c r="B7" s="19">
        <v>713163</v>
      </c>
      <c r="C7" s="23">
        <f>SUM(C5,C6)</f>
        <v>750960.63899999997</v>
      </c>
    </row>
    <row r="8" spans="1:3">
      <c r="A8" s="18" t="s">
        <v>17</v>
      </c>
      <c r="B8" s="26">
        <v>4.7E-2</v>
      </c>
      <c r="C8" s="26">
        <v>5.2999999999999999E-2</v>
      </c>
    </row>
    <row r="9" spans="1:3" ht="18">
      <c r="A9" s="28" t="s">
        <v>18</v>
      </c>
      <c r="B9" s="20"/>
      <c r="C9" s="20"/>
    </row>
    <row r="10" spans="1:3">
      <c r="A10" s="18" t="s">
        <v>19</v>
      </c>
      <c r="B10" s="19">
        <v>535395</v>
      </c>
      <c r="C10" s="23"/>
    </row>
    <row r="11" spans="1:3">
      <c r="A11" s="18" t="s">
        <v>20</v>
      </c>
      <c r="B11" s="19">
        <v>171018</v>
      </c>
      <c r="C11" s="23">
        <f>C5*C12</f>
        <v>177780.84047099997</v>
      </c>
    </row>
    <row r="12" spans="1:3">
      <c r="A12" s="18" t="s">
        <v>21</v>
      </c>
      <c r="B12" s="26">
        <v>0.24199999999999999</v>
      </c>
      <c r="C12" s="26">
        <v>0.23899999999999999</v>
      </c>
    </row>
    <row r="13" spans="1:3" ht="18">
      <c r="A13" s="28" t="s">
        <v>22</v>
      </c>
      <c r="B13" s="20"/>
      <c r="C13" s="20"/>
    </row>
    <row r="14" spans="1:3">
      <c r="A14" s="18" t="s">
        <v>23</v>
      </c>
      <c r="B14" s="19">
        <v>147943</v>
      </c>
      <c r="C14" s="23">
        <f>C5*C15</f>
        <v>154721.40091199998</v>
      </c>
    </row>
    <row r="15" spans="1:3">
      <c r="A15" s="18" t="s">
        <v>24</v>
      </c>
      <c r="B15" s="26">
        <v>0.20899999999999999</v>
      </c>
      <c r="C15" s="26">
        <v>0.20799999999999999</v>
      </c>
    </row>
    <row r="16" spans="1:3">
      <c r="A16" s="18" t="s">
        <v>25</v>
      </c>
      <c r="B16" s="19">
        <v>29825</v>
      </c>
      <c r="C16" s="23">
        <f>C11+C6-C14</f>
        <v>30167.189558999991</v>
      </c>
    </row>
    <row r="17" spans="1:3">
      <c r="A17" s="18" t="s">
        <v>26</v>
      </c>
      <c r="B17" s="26">
        <v>4.2000000000000003E-2</v>
      </c>
      <c r="C17" s="26">
        <v>0.04</v>
      </c>
    </row>
    <row r="18" spans="1:3" ht="18">
      <c r="A18" s="28" t="s">
        <v>34</v>
      </c>
      <c r="B18" s="20"/>
      <c r="C18" s="20"/>
    </row>
    <row r="19" spans="1:3" outlineLevel="1">
      <c r="A19" s="18" t="s">
        <v>33</v>
      </c>
      <c r="B19" s="19">
        <v>29469</v>
      </c>
      <c r="C19" s="23">
        <f>C16+(B19-B16)</f>
        <v>29811.189558999991</v>
      </c>
    </row>
    <row r="20" spans="1:3" outlineLevel="1">
      <c r="A20" s="18" t="s">
        <v>35</v>
      </c>
      <c r="B20" s="19">
        <v>7199</v>
      </c>
      <c r="C20" s="29">
        <f>C19*C21</f>
        <v>7959.587612252998</v>
      </c>
    </row>
    <row r="21" spans="1:3" outlineLevel="1">
      <c r="A21" s="18" t="s">
        <v>36</v>
      </c>
      <c r="B21" s="26">
        <v>0.24399999999999999</v>
      </c>
      <c r="C21" s="26">
        <v>0.26700000000000002</v>
      </c>
    </row>
    <row r="22" spans="1:3" ht="28.8">
      <c r="A22" s="18" t="s">
        <v>39</v>
      </c>
      <c r="B22" s="19">
        <v>21893</v>
      </c>
      <c r="C22" s="23">
        <f>C19-C20</f>
        <v>21851.601946746992</v>
      </c>
    </row>
    <row r="23" spans="1:3">
      <c r="A23" s="18" t="s">
        <v>40</v>
      </c>
      <c r="B23" s="26">
        <v>3.1E-2</v>
      </c>
      <c r="C23" s="30">
        <f>C22/C7</f>
        <v>2.9098198776230391E-2</v>
      </c>
    </row>
    <row r="24" spans="1:3" ht="18">
      <c r="A24" s="28" t="s">
        <v>73</v>
      </c>
      <c r="B24" s="20"/>
      <c r="C24" s="20"/>
    </row>
    <row r="25" spans="1:3">
      <c r="A25" s="18" t="s">
        <v>74</v>
      </c>
      <c r="B25" s="19">
        <v>-26642</v>
      </c>
      <c r="C25" s="23">
        <f>C7*C26*-1</f>
        <v>-24781.701087000001</v>
      </c>
    </row>
    <row r="26" spans="1:3">
      <c r="A26" s="18" t="s">
        <v>50</v>
      </c>
      <c r="B26" s="26">
        <v>3.6999999999999998E-2</v>
      </c>
      <c r="C26" s="26">
        <v>3.3000000000000002E-2</v>
      </c>
    </row>
    <row r="27" spans="1:3">
      <c r="A27" s="18" t="s">
        <v>49</v>
      </c>
      <c r="B27" s="19">
        <v>14923</v>
      </c>
      <c r="C27" s="23">
        <f>C28*C7</f>
        <v>15770.173419000001</v>
      </c>
    </row>
    <row r="28" spans="1:3">
      <c r="A28" s="18" t="s">
        <v>51</v>
      </c>
      <c r="B28" s="26">
        <v>2.1000000000000001E-2</v>
      </c>
      <c r="C28" s="26">
        <v>2.1000000000000001E-2</v>
      </c>
    </row>
  </sheetData>
  <mergeCells count="1">
    <mergeCell ref="A1:C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9F9A3-5C9B-453F-9DE0-AC43B39DEE2C}">
  <dimension ref="A2:E40"/>
  <sheetViews>
    <sheetView zoomScale="80" zoomScaleNormal="80" workbookViewId="0">
      <selection activeCell="L40" sqref="L40"/>
    </sheetView>
  </sheetViews>
  <sheetFormatPr defaultRowHeight="14.4"/>
  <cols>
    <col min="1" max="4" width="20.77734375" customWidth="1"/>
    <col min="5" max="5" width="20.77734375" style="36" customWidth="1"/>
  </cols>
  <sheetData>
    <row r="2" spans="1:5" ht="14.4" customHeight="1">
      <c r="A2" s="66" t="s">
        <v>75</v>
      </c>
      <c r="B2" s="66"/>
      <c r="C2" s="66"/>
      <c r="D2" s="66"/>
      <c r="E2" s="66"/>
    </row>
    <row r="3" spans="1:5" ht="14.4" customHeight="1">
      <c r="A3" s="66"/>
      <c r="B3" s="66"/>
      <c r="C3" s="66"/>
      <c r="D3" s="66"/>
      <c r="E3" s="66"/>
    </row>
    <row r="4" spans="1:5" ht="28.8">
      <c r="A4" s="7" t="s">
        <v>8</v>
      </c>
      <c r="B4" s="8" t="s">
        <v>12</v>
      </c>
      <c r="C4" s="8" t="s">
        <v>72</v>
      </c>
      <c r="D4" s="8" t="s">
        <v>76</v>
      </c>
      <c r="E4" s="33" t="s">
        <v>77</v>
      </c>
    </row>
    <row r="5" spans="1:5" ht="18">
      <c r="A5" s="28" t="s">
        <v>13</v>
      </c>
      <c r="B5" s="16"/>
      <c r="C5" s="16"/>
      <c r="D5" s="16"/>
      <c r="E5" s="34"/>
    </row>
    <row r="6" spans="1:5">
      <c r="A6" s="18" t="s">
        <v>14</v>
      </c>
      <c r="B6" s="19">
        <v>706413</v>
      </c>
      <c r="C6" s="23">
        <f>B6*(1+C9)</f>
        <v>743852.88899999997</v>
      </c>
      <c r="D6" s="23">
        <f>C6-B6</f>
        <v>37439.888999999966</v>
      </c>
      <c r="E6" s="37">
        <f>D6/B6</f>
        <v>5.299999999999995E-2</v>
      </c>
    </row>
    <row r="7" spans="1:5" ht="28.8">
      <c r="A7" s="18" t="s">
        <v>15</v>
      </c>
      <c r="B7" s="19">
        <v>6750</v>
      </c>
      <c r="C7" s="29">
        <f>B7*(1+C9)</f>
        <v>7107.75</v>
      </c>
      <c r="D7" s="23">
        <f>C7-B7</f>
        <v>357.75</v>
      </c>
      <c r="E7" s="37">
        <f>D7/B7</f>
        <v>5.2999999999999999E-2</v>
      </c>
    </row>
    <row r="8" spans="1:5">
      <c r="A8" s="18" t="s">
        <v>16</v>
      </c>
      <c r="B8" s="19">
        <v>713163</v>
      </c>
      <c r="C8" s="23">
        <f>SUM(C6,C7)</f>
        <v>750960.63899999997</v>
      </c>
      <c r="D8" s="23">
        <f>C8-B8</f>
        <v>37797.638999999966</v>
      </c>
      <c r="E8" s="37">
        <f>D8/B8</f>
        <v>5.299999999999995E-2</v>
      </c>
    </row>
    <row r="9" spans="1:5">
      <c r="A9" s="18" t="s">
        <v>17</v>
      </c>
      <c r="B9" s="26">
        <v>4.7E-2</v>
      </c>
      <c r="C9" s="26">
        <v>5.2999999999999999E-2</v>
      </c>
      <c r="D9" s="31"/>
      <c r="E9" s="38">
        <f>(C9-B9)*10000</f>
        <v>59.999999999999986</v>
      </c>
    </row>
    <row r="10" spans="1:5" ht="36">
      <c r="A10" s="28" t="s">
        <v>18</v>
      </c>
      <c r="B10" s="20"/>
      <c r="C10" s="20"/>
      <c r="D10" s="20"/>
      <c r="E10" s="35"/>
    </row>
    <row r="11" spans="1:5">
      <c r="A11" s="18" t="s">
        <v>19</v>
      </c>
      <c r="B11" s="19">
        <v>535395</v>
      </c>
      <c r="C11" s="23">
        <v>566072</v>
      </c>
      <c r="D11" s="23">
        <f>C11-B11</f>
        <v>30677</v>
      </c>
      <c r="E11" s="37">
        <f>D11/B11</f>
        <v>5.7297882871524763E-2</v>
      </c>
    </row>
    <row r="12" spans="1:5">
      <c r="A12" s="18" t="s">
        <v>20</v>
      </c>
      <c r="B12" s="19">
        <v>171018</v>
      </c>
      <c r="C12" s="23">
        <f>C6*C13</f>
        <v>177780.84047099997</v>
      </c>
      <c r="D12" s="23">
        <f>C12-B12</f>
        <v>6762.8404709999741</v>
      </c>
      <c r="E12" s="37">
        <f>D12/B12</f>
        <v>3.9544612093463695E-2</v>
      </c>
    </row>
    <row r="13" spans="1:5">
      <c r="A13" s="18" t="s">
        <v>21</v>
      </c>
      <c r="B13" s="26">
        <v>0.24199999999999999</v>
      </c>
      <c r="C13" s="26">
        <v>0.23899999999999999</v>
      </c>
      <c r="D13" s="31"/>
      <c r="E13" s="38">
        <f>(C13-B13) * 10000</f>
        <v>-30.000000000000028</v>
      </c>
    </row>
    <row r="14" spans="1:5" ht="36">
      <c r="A14" s="28" t="s">
        <v>22</v>
      </c>
      <c r="B14" s="20"/>
      <c r="C14" s="20"/>
      <c r="D14" s="20"/>
      <c r="E14" s="35"/>
    </row>
    <row r="15" spans="1:5">
      <c r="A15" s="18" t="s">
        <v>23</v>
      </c>
      <c r="B15" s="19">
        <v>147943</v>
      </c>
      <c r="C15" s="23">
        <f>C6*C16</f>
        <v>154721.40091199998</v>
      </c>
      <c r="D15" s="23">
        <f>C15-B15</f>
        <v>6778.4009119999828</v>
      </c>
      <c r="E15" s="37">
        <f>D15/B15</f>
        <v>4.5817652149814342E-2</v>
      </c>
    </row>
    <row r="16" spans="1:5">
      <c r="A16" s="18" t="s">
        <v>24</v>
      </c>
      <c r="B16" s="26">
        <v>0.20899999999999999</v>
      </c>
      <c r="C16" s="26">
        <v>0.20799999999999999</v>
      </c>
      <c r="D16" s="31"/>
      <c r="E16" s="38">
        <f>(C16-B16)*10000</f>
        <v>-10.000000000000009</v>
      </c>
    </row>
    <row r="17" spans="1:5">
      <c r="A17" s="18" t="s">
        <v>25</v>
      </c>
      <c r="B17" s="19">
        <v>29825</v>
      </c>
      <c r="C17" s="23">
        <f>C12+C7-C15</f>
        <v>30167.189558999991</v>
      </c>
      <c r="D17" s="23">
        <f>C17-B17</f>
        <v>342.18955899999128</v>
      </c>
      <c r="E17" s="37">
        <f>D17/B17</f>
        <v>1.1473245901089398E-2</v>
      </c>
    </row>
    <row r="18" spans="1:5">
      <c r="A18" s="18" t="s">
        <v>26</v>
      </c>
      <c r="B18" s="26">
        <v>4.2000000000000003E-2</v>
      </c>
      <c r="C18" s="26">
        <v>0.04</v>
      </c>
      <c r="D18" s="31"/>
      <c r="E18" s="38">
        <f>(C18-B18)*10000</f>
        <v>-20.000000000000018</v>
      </c>
    </row>
    <row r="19" spans="1:5" ht="36">
      <c r="A19" s="28" t="s">
        <v>34</v>
      </c>
      <c r="B19" s="20"/>
      <c r="C19" s="20"/>
      <c r="D19" s="20"/>
      <c r="E19" s="35"/>
    </row>
    <row r="20" spans="1:5">
      <c r="A20" s="18" t="s">
        <v>33</v>
      </c>
      <c r="B20" s="19">
        <v>29469</v>
      </c>
      <c r="C20" s="23">
        <f>C17+(B20-B17)</f>
        <v>29811.189558999991</v>
      </c>
      <c r="D20" s="23">
        <f>C20-B20</f>
        <v>342.18955899999128</v>
      </c>
      <c r="E20" s="37">
        <f>D20/B20</f>
        <v>1.161184834911233E-2</v>
      </c>
    </row>
    <row r="21" spans="1:5">
      <c r="A21" s="18" t="s">
        <v>35</v>
      </c>
      <c r="B21" s="19">
        <v>7199</v>
      </c>
      <c r="C21" s="29">
        <f>C20*C22</f>
        <v>7959.587612252998</v>
      </c>
      <c r="D21" s="29">
        <f>C21-B21</f>
        <v>760.58761225299804</v>
      </c>
      <c r="E21" s="37">
        <f>D21/B21</f>
        <v>0.1056518422354491</v>
      </c>
    </row>
    <row r="22" spans="1:5">
      <c r="A22" s="18" t="s">
        <v>36</v>
      </c>
      <c r="B22" s="26">
        <v>0.24399999999999999</v>
      </c>
      <c r="C22" s="26">
        <v>0.26700000000000002</v>
      </c>
      <c r="D22" s="31"/>
      <c r="E22" s="38">
        <f>(C22-B22)*10000</f>
        <v>230.0000000000002</v>
      </c>
    </row>
    <row r="23" spans="1:5" ht="28.8">
      <c r="A23" s="18" t="s">
        <v>39</v>
      </c>
      <c r="B23" s="19">
        <v>21893</v>
      </c>
      <c r="C23" s="23">
        <f>C20-C21</f>
        <v>21851.601946746992</v>
      </c>
      <c r="D23" s="23">
        <f>C23-B23</f>
        <v>-41.398053253007674</v>
      </c>
      <c r="E23" s="37">
        <f>D23/B23</f>
        <v>-1.8909264720690484E-3</v>
      </c>
    </row>
    <row r="24" spans="1:5">
      <c r="A24" s="18" t="s">
        <v>40</v>
      </c>
      <c r="B24" s="26">
        <v>3.1E-2</v>
      </c>
      <c r="C24" s="30">
        <f>C23/C8</f>
        <v>2.9098198776230391E-2</v>
      </c>
      <c r="D24" s="32"/>
      <c r="E24" s="38">
        <f>(C24-B24)*10000</f>
        <v>-19.018012237696087</v>
      </c>
    </row>
    <row r="25" spans="1:5" ht="18">
      <c r="A25" s="28" t="s">
        <v>73</v>
      </c>
      <c r="B25" s="20"/>
      <c r="C25" s="20"/>
      <c r="D25" s="20"/>
      <c r="E25" s="35"/>
    </row>
    <row r="26" spans="1:5">
      <c r="A26" s="18" t="s">
        <v>74</v>
      </c>
      <c r="B26" s="19">
        <v>-26642</v>
      </c>
      <c r="C26" s="23">
        <f>C8*C27*-1</f>
        <v>-24781.701087000001</v>
      </c>
      <c r="D26" s="23">
        <f>C26-B26</f>
        <v>1860.2989129999987</v>
      </c>
      <c r="E26" s="37">
        <f>D26/B26</f>
        <v>-6.9825798100743144E-2</v>
      </c>
    </row>
    <row r="27" spans="1:5">
      <c r="A27" s="18" t="s">
        <v>50</v>
      </c>
      <c r="B27" s="26">
        <v>3.6999999999999998E-2</v>
      </c>
      <c r="C27" s="26">
        <v>3.3000000000000002E-2</v>
      </c>
      <c r="D27" s="31"/>
      <c r="E27" s="38">
        <f>(C27-B27)*10000</f>
        <v>-39.999999999999964</v>
      </c>
    </row>
    <row r="28" spans="1:5">
      <c r="A28" s="18" t="s">
        <v>49</v>
      </c>
      <c r="B28" s="19">
        <v>14923</v>
      </c>
      <c r="C28" s="23">
        <f>C29*C8</f>
        <v>15770.173419000001</v>
      </c>
      <c r="D28" s="23">
        <f>C28-B28</f>
        <v>847.17341900000065</v>
      </c>
      <c r="E28" s="37">
        <f>D28/B28</f>
        <v>5.6769645446626056E-2</v>
      </c>
    </row>
    <row r="29" spans="1:5">
      <c r="A29" s="18" t="s">
        <v>51</v>
      </c>
      <c r="B29" s="26">
        <v>2.1000000000000001E-2</v>
      </c>
      <c r="C29" s="26">
        <v>2.1000000000000001E-2</v>
      </c>
      <c r="D29" s="31"/>
      <c r="E29" s="38">
        <f>(C29-B29)*10000</f>
        <v>0</v>
      </c>
    </row>
    <row r="33" spans="1:5">
      <c r="A33" s="40"/>
      <c r="E33"/>
    </row>
    <row r="34" spans="1:5">
      <c r="E34"/>
    </row>
    <row r="35" spans="1:5">
      <c r="E35"/>
    </row>
    <row r="36" spans="1:5">
      <c r="E36"/>
    </row>
    <row r="37" spans="1:5">
      <c r="E37"/>
    </row>
    <row r="38" spans="1:5">
      <c r="E38"/>
    </row>
    <row r="39" spans="1:5">
      <c r="E39"/>
    </row>
    <row r="40" spans="1:5">
      <c r="E40"/>
    </row>
  </sheetData>
  <mergeCells count="1">
    <mergeCell ref="A2:E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F315-6240-45C1-BF27-93912B21C472}">
  <dimension ref="A1:J28"/>
  <sheetViews>
    <sheetView zoomScale="90" zoomScaleNormal="90" workbookViewId="0">
      <selection activeCell="M23" sqref="M23"/>
    </sheetView>
  </sheetViews>
  <sheetFormatPr defaultRowHeight="14.4"/>
  <cols>
    <col min="1" max="1" width="20.77734375" customWidth="1"/>
    <col min="2" max="2" width="20.77734375" style="47" customWidth="1"/>
    <col min="3" max="3" width="20.77734375" customWidth="1"/>
    <col min="4" max="4" width="20.77734375" style="47" customWidth="1"/>
    <col min="5" max="9" width="20.77734375" customWidth="1"/>
  </cols>
  <sheetData>
    <row r="1" spans="1:10">
      <c r="A1" s="66" t="s">
        <v>78</v>
      </c>
      <c r="B1" s="66"/>
      <c r="C1" s="66"/>
      <c r="D1" s="66"/>
      <c r="E1" s="66"/>
    </row>
    <row r="2" spans="1:10">
      <c r="A2" s="66"/>
      <c r="B2" s="66"/>
      <c r="C2" s="66"/>
      <c r="D2" s="66"/>
      <c r="E2" s="66"/>
    </row>
    <row r="3" spans="1:10" ht="28.8">
      <c r="A3" s="7" t="s">
        <v>8</v>
      </c>
      <c r="B3" s="7" t="s">
        <v>12</v>
      </c>
      <c r="C3" s="7" t="s">
        <v>72</v>
      </c>
      <c r="D3" s="7" t="s">
        <v>79</v>
      </c>
      <c r="E3" s="7" t="s">
        <v>83</v>
      </c>
      <c r="F3" s="7" t="s">
        <v>80</v>
      </c>
      <c r="G3" s="7" t="s">
        <v>81</v>
      </c>
      <c r="H3" s="7" t="s">
        <v>78</v>
      </c>
      <c r="I3" s="7" t="s">
        <v>82</v>
      </c>
      <c r="J3" s="40"/>
    </row>
    <row r="4" spans="1:10" ht="15.6">
      <c r="A4" s="43" t="s">
        <v>13</v>
      </c>
      <c r="B4" s="44"/>
      <c r="C4" s="39"/>
      <c r="D4" s="44"/>
      <c r="E4" s="39"/>
      <c r="F4" s="39"/>
      <c r="G4" s="39"/>
      <c r="H4" s="2"/>
      <c r="I4" s="2"/>
    </row>
    <row r="5" spans="1:10">
      <c r="A5" s="13" t="s">
        <v>14</v>
      </c>
      <c r="B5" s="45">
        <v>706413</v>
      </c>
      <c r="C5" s="41">
        <v>743853</v>
      </c>
      <c r="D5" s="45">
        <v>175684</v>
      </c>
      <c r="E5" s="41">
        <f>D5*(1+E8)</f>
        <v>179197.68</v>
      </c>
      <c r="F5" s="41">
        <f t="shared" ref="F5:G5" si="0">E5*(1+F8)</f>
        <v>181885.64519999997</v>
      </c>
      <c r="G5" s="41">
        <f t="shared" si="0"/>
        <v>186432.78632999994</v>
      </c>
      <c r="H5" s="9">
        <f>SUM(D5,E5,F5,G5)</f>
        <v>723200.11152999988</v>
      </c>
      <c r="I5" s="9">
        <f>H5-C5</f>
        <v>-20652.888470000122</v>
      </c>
    </row>
    <row r="6" spans="1:10" ht="28.8">
      <c r="A6" s="13" t="s">
        <v>15</v>
      </c>
      <c r="B6" s="45">
        <v>6750</v>
      </c>
      <c r="C6" s="41">
        <v>7108</v>
      </c>
      <c r="D6" s="45">
        <v>2067</v>
      </c>
      <c r="E6" s="41">
        <f>D6*(1+E8)</f>
        <v>2108.34</v>
      </c>
      <c r="F6" s="41">
        <f t="shared" ref="F6:G6" si="1">E6*(1+F8)</f>
        <v>2139.9650999999999</v>
      </c>
      <c r="G6" s="41">
        <f t="shared" si="1"/>
        <v>2193.4642274999997</v>
      </c>
      <c r="H6" s="9">
        <f>SUM(D6,E6,F6,G6)</f>
        <v>8508.7693274999983</v>
      </c>
      <c r="I6" s="9">
        <f t="shared" ref="I6" si="2">H6-C6</f>
        <v>1400.7693274999983</v>
      </c>
    </row>
    <row r="7" spans="1:10">
      <c r="A7" s="13" t="s">
        <v>16</v>
      </c>
      <c r="B7" s="45">
        <v>713163</v>
      </c>
      <c r="C7" s="41">
        <v>750961</v>
      </c>
      <c r="D7" s="45">
        <v>177751</v>
      </c>
      <c r="E7" s="41">
        <f>(E6+E5)</f>
        <v>181306.02</v>
      </c>
      <c r="F7" s="41">
        <f t="shared" ref="F7:G7" si="3">(F6+F5)</f>
        <v>184025.61029999997</v>
      </c>
      <c r="G7" s="41">
        <f t="shared" si="3"/>
        <v>188626.25055749994</v>
      </c>
      <c r="H7" s="9">
        <f t="shared" ref="H7" si="4">SUM(D7,E7,F7,G7)</f>
        <v>731708.8808574999</v>
      </c>
      <c r="I7" s="9">
        <f>H7-C7</f>
        <v>-19252.119142500102</v>
      </c>
    </row>
    <row r="8" spans="1:10">
      <c r="A8" s="13" t="s">
        <v>17</v>
      </c>
      <c r="B8" s="46">
        <v>4.7E-2</v>
      </c>
      <c r="C8" s="42">
        <v>5.2999999999999999E-2</v>
      </c>
      <c r="D8" s="46">
        <v>7.0999999999999994E-2</v>
      </c>
      <c r="E8" s="46">
        <v>0.02</v>
      </c>
      <c r="F8" s="46">
        <v>1.4999999999999999E-2</v>
      </c>
      <c r="G8" s="46">
        <v>2.5000000000000001E-2</v>
      </c>
      <c r="H8" s="48">
        <f>H5/B5-1</f>
        <v>2.3763876839752118E-2</v>
      </c>
      <c r="I8" s="49">
        <f>(H8-C8)*10000</f>
        <v>-292.36123160247882</v>
      </c>
    </row>
    <row r="9" spans="1:10" ht="15.6">
      <c r="A9" s="43" t="s">
        <v>18</v>
      </c>
      <c r="B9" s="44"/>
      <c r="C9" s="39"/>
      <c r="D9" s="44"/>
      <c r="E9" s="39"/>
      <c r="F9" s="39"/>
      <c r="G9" s="39"/>
      <c r="H9" s="2"/>
      <c r="I9" s="2"/>
    </row>
    <row r="10" spans="1:10">
      <c r="A10" s="13" t="s">
        <v>19</v>
      </c>
      <c r="B10" s="45">
        <v>535395</v>
      </c>
      <c r="C10" s="41">
        <v>566072</v>
      </c>
      <c r="D10" s="45">
        <v>133058</v>
      </c>
      <c r="E10" s="41">
        <f>E5-E11</f>
        <v>136190.23680000001</v>
      </c>
      <c r="F10" s="41">
        <f>F5-F11</f>
        <v>138414.97599719997</v>
      </c>
      <c r="G10" s="41">
        <f t="shared" ref="G10" si="5">G5-G11</f>
        <v>141875.35039712995</v>
      </c>
      <c r="H10" s="9">
        <f>SUM(D10,E10,F10,G10)</f>
        <v>549538.56319432985</v>
      </c>
      <c r="I10" s="9">
        <f>H10-C10</f>
        <v>-16533.43680567015</v>
      </c>
    </row>
    <row r="11" spans="1:10">
      <c r="A11" s="13" t="s">
        <v>20</v>
      </c>
      <c r="B11" s="45">
        <v>171018</v>
      </c>
      <c r="C11" s="41">
        <v>177781</v>
      </c>
      <c r="D11" s="45">
        <v>42626</v>
      </c>
      <c r="E11" s="41">
        <f>E5*E12</f>
        <v>43007.443199999994</v>
      </c>
      <c r="F11" s="41">
        <f t="shared" ref="F11:G11" si="6">F5*F12</f>
        <v>43470.669202799989</v>
      </c>
      <c r="G11" s="41">
        <f t="shared" si="6"/>
        <v>44557.435932869987</v>
      </c>
      <c r="H11" s="9">
        <f>SUM(D11,E11,F11,G11)</f>
        <v>173661.54833566997</v>
      </c>
      <c r="I11" s="9">
        <f>H11-C11</f>
        <v>-4119.4516643300303</v>
      </c>
    </row>
    <row r="12" spans="1:10">
      <c r="A12" s="13" t="s">
        <v>21</v>
      </c>
      <c r="B12" s="46">
        <v>0.24199999999999999</v>
      </c>
      <c r="C12" s="42">
        <v>0.23899999999999999</v>
      </c>
      <c r="D12" s="46">
        <v>0.24299999999999999</v>
      </c>
      <c r="E12" s="46">
        <v>0.24</v>
      </c>
      <c r="F12" s="46">
        <v>0.23899999999999999</v>
      </c>
      <c r="G12" s="46">
        <v>0.23899999999999999</v>
      </c>
      <c r="H12" s="15">
        <f>H11/H5</f>
        <v>0.24012931630814069</v>
      </c>
      <c r="I12" s="49">
        <f>(H12-C12)*10000</f>
        <v>11.293163081406988</v>
      </c>
    </row>
    <row r="13" spans="1:10" ht="15.6">
      <c r="A13" s="43" t="s">
        <v>22</v>
      </c>
      <c r="B13" s="44"/>
      <c r="C13" s="39"/>
      <c r="D13" s="44"/>
      <c r="E13" s="39"/>
      <c r="F13" s="39"/>
      <c r="G13" s="39"/>
      <c r="H13" s="2"/>
      <c r="I13" s="2"/>
    </row>
    <row r="14" spans="1:10">
      <c r="A14" s="13" t="s">
        <v>23</v>
      </c>
      <c r="B14" s="45">
        <v>147943</v>
      </c>
      <c r="C14" s="41">
        <v>154721</v>
      </c>
      <c r="D14" s="45">
        <v>37200</v>
      </c>
      <c r="E14" s="41">
        <f>E5*E15</f>
        <v>37452.315119999999</v>
      </c>
      <c r="F14" s="41">
        <f t="shared" ref="F14:G14" si="7">F5*F15</f>
        <v>37832.214201599993</v>
      </c>
      <c r="G14" s="41">
        <f t="shared" si="7"/>
        <v>38591.586770309987</v>
      </c>
      <c r="H14" s="9">
        <f>SUM(D14,E14,F14,G14)</f>
        <v>151076.11609190996</v>
      </c>
      <c r="I14" s="9">
        <f>H14-C14</f>
        <v>-3644.8839080900361</v>
      </c>
    </row>
    <row r="15" spans="1:10">
      <c r="A15" s="13" t="s">
        <v>24</v>
      </c>
      <c r="B15" s="46">
        <v>0.20899999999999999</v>
      </c>
      <c r="C15" s="42">
        <v>0.20799999999999999</v>
      </c>
      <c r="D15" s="46">
        <v>0.21199999999999999</v>
      </c>
      <c r="E15" s="46">
        <v>0.20899999999999999</v>
      </c>
      <c r="F15" s="46">
        <v>0.20799999999999999</v>
      </c>
      <c r="G15" s="46">
        <v>0.20699999999999999</v>
      </c>
      <c r="H15" s="15">
        <f>H14/H5</f>
        <v>0.20889946459257841</v>
      </c>
      <c r="I15" s="49">
        <f>(H15-C15)*10000</f>
        <v>8.9946459257841944</v>
      </c>
    </row>
    <row r="16" spans="1:10">
      <c r="A16" s="13" t="s">
        <v>25</v>
      </c>
      <c r="B16" s="45">
        <v>29825</v>
      </c>
      <c r="C16" s="41">
        <v>30167</v>
      </c>
      <c r="D16" s="45">
        <v>7493</v>
      </c>
      <c r="E16" s="41">
        <f>E11+E6-E14</f>
        <v>7663.4680799999915</v>
      </c>
      <c r="F16" s="41">
        <f t="shared" ref="F16:G16" si="8">F11+F6-F14</f>
        <v>7778.4201011999976</v>
      </c>
      <c r="G16" s="41">
        <f t="shared" si="8"/>
        <v>8159.3133900600005</v>
      </c>
      <c r="H16" s="9">
        <f>SUM(D16,E16,F16,G16)</f>
        <v>31094.20157125999</v>
      </c>
      <c r="I16" s="9">
        <f>H16-C16</f>
        <v>927.20157125998958</v>
      </c>
    </row>
    <row r="17" spans="1:9">
      <c r="A17" s="13" t="s">
        <v>26</v>
      </c>
      <c r="B17" s="46">
        <v>4.2000000000000003E-2</v>
      </c>
      <c r="C17" s="42">
        <v>0.04</v>
      </c>
      <c r="D17" s="46">
        <v>4.2999999999999997E-2</v>
      </c>
      <c r="E17" s="42">
        <f>E16/E7</f>
        <v>4.2268139138457686E-2</v>
      </c>
      <c r="F17" s="42">
        <f t="shared" ref="F17:G17" si="9">F16/F7</f>
        <v>4.2268139138457721E-2</v>
      </c>
      <c r="G17" s="42">
        <f t="shared" si="9"/>
        <v>4.3256510511895871E-2</v>
      </c>
      <c r="H17" s="15">
        <f>H16/H7</f>
        <v>4.249531799425512E-2</v>
      </c>
      <c r="I17" s="49">
        <f>(H17-C17)*10000</f>
        <v>24.953179942551195</v>
      </c>
    </row>
    <row r="18" spans="1:9" ht="15.6">
      <c r="A18" s="43" t="s">
        <v>34</v>
      </c>
      <c r="B18" s="44"/>
      <c r="C18" s="39"/>
      <c r="D18" s="44"/>
      <c r="E18" s="39"/>
      <c r="F18" s="39"/>
      <c r="G18" s="39"/>
      <c r="H18" s="2"/>
      <c r="I18" s="2"/>
    </row>
    <row r="19" spans="1:9">
      <c r="A19" s="13" t="s">
        <v>33</v>
      </c>
      <c r="B19" s="45">
        <v>29469</v>
      </c>
      <c r="C19" s="41">
        <v>29811</v>
      </c>
      <c r="D19" s="45">
        <v>7148</v>
      </c>
      <c r="E19" s="41">
        <f>E16-345</f>
        <v>7318.4680799999915</v>
      </c>
      <c r="F19" s="41">
        <f>F16-345</f>
        <v>7433.4201011999976</v>
      </c>
      <c r="G19" s="41">
        <f>G16-345</f>
        <v>7814.3133900600005</v>
      </c>
      <c r="H19" s="9">
        <f>SUM(D19,E19,F19,G19)</f>
        <v>29714.20157125999</v>
      </c>
      <c r="I19" s="9">
        <f>H19-C19</f>
        <v>-96.798428740010422</v>
      </c>
    </row>
    <row r="20" spans="1:9">
      <c r="A20" s="13" t="s">
        <v>35</v>
      </c>
      <c r="B20" s="45">
        <v>7199</v>
      </c>
      <c r="C20" s="41">
        <v>7960</v>
      </c>
      <c r="D20" s="45">
        <v>1658</v>
      </c>
      <c r="E20" s="41">
        <f>E19*(E21)</f>
        <v>1866.2093603999979</v>
      </c>
      <c r="F20" s="41">
        <f t="shared" ref="F20:G20" si="10">F19*(F21)</f>
        <v>1932.6892263119994</v>
      </c>
      <c r="G20" s="41">
        <f t="shared" si="10"/>
        <v>2070.7930483659002</v>
      </c>
      <c r="H20" s="9">
        <f>SUM(D20,E20,F20,G20)</f>
        <v>7527.6916350778974</v>
      </c>
      <c r="I20" s="9">
        <f>H20-C20</f>
        <v>-432.30836492210256</v>
      </c>
    </row>
    <row r="21" spans="1:9">
      <c r="A21" s="13" t="s">
        <v>36</v>
      </c>
      <c r="B21" s="46">
        <v>0.24399999999999999</v>
      </c>
      <c r="C21" s="42">
        <v>0.26700000000000002</v>
      </c>
      <c r="D21" s="46">
        <v>0.23200000000000001</v>
      </c>
      <c r="E21" s="46">
        <v>0.255</v>
      </c>
      <c r="F21" s="46">
        <v>0.26</v>
      </c>
      <c r="G21" s="46">
        <v>0.26500000000000001</v>
      </c>
      <c r="H21" s="15">
        <f>H20/H19</f>
        <v>0.25333649356268723</v>
      </c>
      <c r="I21" s="49">
        <f>(H21-C21)*10000</f>
        <v>-136.6350643731279</v>
      </c>
    </row>
    <row r="22" spans="1:9" ht="46.8">
      <c r="A22" s="43" t="s">
        <v>39</v>
      </c>
      <c r="B22" s="45">
        <v>21893</v>
      </c>
      <c r="C22" s="41">
        <v>21852</v>
      </c>
      <c r="D22" s="45">
        <v>5330</v>
      </c>
      <c r="E22" s="41">
        <f>E19-E20</f>
        <v>5452.2587195999931</v>
      </c>
      <c r="F22" s="41">
        <f t="shared" ref="F22" si="11">F19-F20</f>
        <v>5500.7308748879987</v>
      </c>
      <c r="G22" s="41">
        <f>G19-G20</f>
        <v>5743.5203416941004</v>
      </c>
      <c r="H22" s="9">
        <f>SUM(D22,E22,F22,G22)</f>
        <v>22026.50993618209</v>
      </c>
      <c r="I22" s="9">
        <f>H22-C22</f>
        <v>174.50993618209031</v>
      </c>
    </row>
    <row r="23" spans="1:9">
      <c r="A23" s="13" t="s">
        <v>40</v>
      </c>
      <c r="B23" s="46">
        <v>3.1E-2</v>
      </c>
      <c r="C23" s="42">
        <v>2.9100000000000001E-2</v>
      </c>
      <c r="D23" s="46">
        <v>0.03</v>
      </c>
      <c r="E23" s="42">
        <f>E22/E7</f>
        <v>3.0072132848098444E-2</v>
      </c>
      <c r="F23" s="42">
        <f t="shared" ref="F23:G23" si="12">F22/F7</f>
        <v>2.9891116056730716E-2</v>
      </c>
      <c r="G23" s="42">
        <f t="shared" si="12"/>
        <v>3.0449210142907829E-2</v>
      </c>
      <c r="H23" s="15">
        <f>H22/H7</f>
        <v>3.0102832577853796E-2</v>
      </c>
      <c r="I23" s="49">
        <f>(H23-C23)*10000</f>
        <v>10.028325778537948</v>
      </c>
    </row>
    <row r="24" spans="1:9" ht="15.6">
      <c r="A24" s="43" t="s">
        <v>73</v>
      </c>
      <c r="B24" s="44"/>
      <c r="C24" s="39"/>
      <c r="D24" s="44"/>
      <c r="E24" s="39"/>
      <c r="F24" s="39"/>
      <c r="G24" s="39"/>
      <c r="H24" s="2"/>
      <c r="I24" s="2"/>
    </row>
    <row r="25" spans="1:9">
      <c r="A25" s="13" t="s">
        <v>74</v>
      </c>
      <c r="B25" s="45">
        <v>-26642</v>
      </c>
      <c r="C25" s="41">
        <v>-24782</v>
      </c>
      <c r="D25" s="45">
        <v>-6684</v>
      </c>
      <c r="E25" s="41">
        <f>E5*3.3%*-1</f>
        <v>-5913.5234399999999</v>
      </c>
      <c r="F25" s="41">
        <f t="shared" ref="F25:G25" si="13">F5*3.3%*-1</f>
        <v>-6002.2262915999991</v>
      </c>
      <c r="G25" s="41">
        <f t="shared" si="13"/>
        <v>-6152.2819488899986</v>
      </c>
      <c r="H25" s="9">
        <f>SUM(D25,E25,F25,G25)</f>
        <v>-24752.031680489999</v>
      </c>
      <c r="I25" s="9">
        <f>H25-C25</f>
        <v>29.968319510000583</v>
      </c>
    </row>
    <row r="26" spans="1:9">
      <c r="A26" s="13" t="s">
        <v>49</v>
      </c>
      <c r="B26" s="45">
        <v>14923</v>
      </c>
      <c r="C26" s="41">
        <v>15770</v>
      </c>
      <c r="D26" s="45">
        <v>-1946</v>
      </c>
      <c r="E26" s="41">
        <f>E7*E27</f>
        <v>2719.5902999999998</v>
      </c>
      <c r="F26" s="41">
        <f t="shared" ref="F26:G26" si="14">F7*F27</f>
        <v>3680.5122059999994</v>
      </c>
      <c r="G26" s="41">
        <f t="shared" si="14"/>
        <v>4715.6562639374988</v>
      </c>
      <c r="H26" s="9">
        <f>SUM(D26,E26,F26,G26)</f>
        <v>9169.7587699374981</v>
      </c>
      <c r="I26" s="9">
        <f>H26-C26</f>
        <v>-6600.2412300625019</v>
      </c>
    </row>
    <row r="27" spans="1:9">
      <c r="A27" s="13" t="s">
        <v>51</v>
      </c>
      <c r="B27" s="46">
        <v>2.1000000000000001E-2</v>
      </c>
      <c r="C27" s="42">
        <v>2.1000000000000001E-2</v>
      </c>
      <c r="D27" s="46">
        <v>-1.09E-2</v>
      </c>
      <c r="E27" s="46">
        <v>1.4999999999999999E-2</v>
      </c>
      <c r="F27" s="46">
        <v>0.02</v>
      </c>
      <c r="G27" s="46">
        <v>2.5000000000000001E-2</v>
      </c>
      <c r="H27" s="15">
        <f>H26/H7</f>
        <v>1.2531976869258891E-2</v>
      </c>
      <c r="I27" s="49">
        <f>(H27-C27)*10000</f>
        <v>-84.680231307411105</v>
      </c>
    </row>
    <row r="28" spans="1:9">
      <c r="A28" s="39"/>
      <c r="B28" s="44"/>
      <c r="C28" s="39"/>
      <c r="D28" s="44"/>
      <c r="E28" s="39"/>
      <c r="F28" s="39"/>
      <c r="G28" s="39"/>
      <c r="H28" s="2"/>
      <c r="I28" s="2"/>
    </row>
  </sheetData>
  <mergeCells count="1">
    <mergeCell ref="A1:E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A319-D916-4C46-9539-AE5BB8DC3C89}">
  <dimension ref="A1:F64"/>
  <sheetViews>
    <sheetView topLeftCell="A38" zoomScale="90" zoomScaleNormal="90" workbookViewId="0">
      <selection activeCell="Q66" sqref="Q66"/>
    </sheetView>
  </sheetViews>
  <sheetFormatPr defaultRowHeight="14.4"/>
  <cols>
    <col min="1" max="1" width="24.88671875" bestFit="1" customWidth="1"/>
    <col min="2" max="2" width="7.88671875" bestFit="1" customWidth="1"/>
    <col min="3" max="3" width="11.109375" bestFit="1" customWidth="1"/>
    <col min="4" max="4" width="51.109375" bestFit="1" customWidth="1"/>
    <col min="5" max="5" width="20.77734375" customWidth="1"/>
  </cols>
  <sheetData>
    <row r="1" spans="1:5" ht="23.4">
      <c r="A1" s="65" t="s">
        <v>8</v>
      </c>
      <c r="B1" s="65"/>
      <c r="C1" s="65"/>
      <c r="D1" s="62"/>
    </row>
    <row r="2" spans="1:5" ht="23.4">
      <c r="A2" s="61"/>
      <c r="B2" s="61"/>
      <c r="C2" s="61"/>
      <c r="D2" s="62"/>
    </row>
    <row r="5" spans="1:5">
      <c r="A5" s="66" t="s">
        <v>84</v>
      </c>
      <c r="B5" s="66"/>
      <c r="C5" s="66"/>
      <c r="D5" s="66"/>
      <c r="E5" s="66"/>
    </row>
    <row r="6" spans="1:5">
      <c r="A6" s="66"/>
      <c r="B6" s="66"/>
      <c r="C6" s="66"/>
      <c r="D6" s="66"/>
      <c r="E6" s="66"/>
    </row>
    <row r="7" spans="1:5" ht="28.8">
      <c r="A7" s="7" t="s">
        <v>85</v>
      </c>
      <c r="B7" s="7" t="s">
        <v>72</v>
      </c>
      <c r="C7" s="7" t="s">
        <v>78</v>
      </c>
      <c r="D7" s="7" t="s">
        <v>82</v>
      </c>
      <c r="E7" s="7" t="s">
        <v>86</v>
      </c>
    </row>
    <row r="8" spans="1:5">
      <c r="A8" s="10" t="s">
        <v>16</v>
      </c>
      <c r="B8" s="11">
        <v>750961</v>
      </c>
      <c r="C8" s="11">
        <v>731709</v>
      </c>
      <c r="D8" s="51">
        <v>-19252</v>
      </c>
      <c r="E8" s="12" t="s">
        <v>87</v>
      </c>
    </row>
    <row r="9" spans="1:5">
      <c r="A9" s="10" t="s">
        <v>14</v>
      </c>
      <c r="B9" s="11">
        <v>743853</v>
      </c>
      <c r="C9" s="11">
        <v>723200</v>
      </c>
      <c r="D9" s="51">
        <v>-20653</v>
      </c>
      <c r="E9" s="12" t="s">
        <v>87</v>
      </c>
    </row>
    <row r="10" spans="1:5">
      <c r="A10" s="10" t="s">
        <v>25</v>
      </c>
      <c r="B10" s="11">
        <v>30167</v>
      </c>
      <c r="C10" s="11">
        <v>31094</v>
      </c>
      <c r="D10" s="52">
        <v>927</v>
      </c>
      <c r="E10" s="12" t="s">
        <v>88</v>
      </c>
    </row>
    <row r="11" spans="1:5">
      <c r="A11" s="10" t="s">
        <v>89</v>
      </c>
      <c r="B11" s="11">
        <v>21852</v>
      </c>
      <c r="C11" s="11">
        <v>22027</v>
      </c>
      <c r="D11" s="52">
        <v>175</v>
      </c>
      <c r="E11" s="12" t="s">
        <v>88</v>
      </c>
    </row>
    <row r="12" spans="1:5">
      <c r="A12" s="10" t="s">
        <v>49</v>
      </c>
      <c r="B12" s="11">
        <v>15770</v>
      </c>
      <c r="C12" s="11">
        <v>9170</v>
      </c>
      <c r="D12" s="51">
        <v>-6600</v>
      </c>
      <c r="E12" s="12" t="s">
        <v>87</v>
      </c>
    </row>
    <row r="13" spans="1:5">
      <c r="A13" s="10" t="s">
        <v>21</v>
      </c>
      <c r="B13" s="50">
        <v>0.23899999999999999</v>
      </c>
      <c r="C13" s="50">
        <v>0.24010000000000001</v>
      </c>
      <c r="D13" s="52" t="s">
        <v>90</v>
      </c>
      <c r="E13" s="12" t="s">
        <v>88</v>
      </c>
    </row>
    <row r="14" spans="1:5">
      <c r="A14" s="10" t="s">
        <v>24</v>
      </c>
      <c r="B14" s="50">
        <v>0.20799999999999999</v>
      </c>
      <c r="C14" s="50">
        <v>0.2089</v>
      </c>
      <c r="D14" s="52" t="s">
        <v>91</v>
      </c>
      <c r="E14" s="12" t="s">
        <v>87</v>
      </c>
    </row>
    <row r="15" spans="1:5">
      <c r="A15" s="10" t="s">
        <v>26</v>
      </c>
      <c r="B15" s="50">
        <v>0.04</v>
      </c>
      <c r="C15" s="50">
        <v>4.2500000000000003E-2</v>
      </c>
      <c r="D15" s="52" t="s">
        <v>92</v>
      </c>
      <c r="E15" s="12" t="s">
        <v>88</v>
      </c>
    </row>
    <row r="16" spans="1:5">
      <c r="A16" s="10" t="s">
        <v>36</v>
      </c>
      <c r="B16" s="50">
        <v>0.26700000000000002</v>
      </c>
      <c r="C16" s="50">
        <v>0.25330000000000003</v>
      </c>
      <c r="D16" s="52" t="s">
        <v>93</v>
      </c>
      <c r="E16" s="12" t="s">
        <v>88</v>
      </c>
    </row>
    <row r="17" spans="1:5">
      <c r="A17" s="10" t="s">
        <v>40</v>
      </c>
      <c r="B17" s="50">
        <v>2.9100000000000001E-2</v>
      </c>
      <c r="C17" s="50">
        <v>3.0099999999999998E-2</v>
      </c>
      <c r="D17" s="52" t="s">
        <v>94</v>
      </c>
      <c r="E17" s="12" t="s">
        <v>88</v>
      </c>
    </row>
    <row r="18" spans="1:5">
      <c r="A18" s="10" t="s">
        <v>51</v>
      </c>
      <c r="B18" s="50">
        <v>2.1000000000000001E-2</v>
      </c>
      <c r="C18" s="50">
        <v>1.2500000000000001E-2</v>
      </c>
      <c r="D18" s="52" t="s">
        <v>95</v>
      </c>
      <c r="E18" s="12" t="s">
        <v>87</v>
      </c>
    </row>
    <row r="22" spans="1:5">
      <c r="A22" s="64" t="s">
        <v>96</v>
      </c>
      <c r="B22" s="64"/>
      <c r="C22" s="64"/>
    </row>
    <row r="23" spans="1:5">
      <c r="A23" s="64"/>
      <c r="B23" s="64"/>
      <c r="C23" s="64"/>
    </row>
    <row r="24" spans="1:5" ht="25.8">
      <c r="A24" s="64"/>
      <c r="B24" s="64"/>
      <c r="C24" s="64"/>
      <c r="D24" s="53"/>
      <c r="E24" s="53"/>
    </row>
    <row r="25" spans="1:5" ht="25.8">
      <c r="A25" s="64"/>
      <c r="B25" s="64"/>
      <c r="C25" s="64"/>
      <c r="D25" s="53"/>
      <c r="E25" s="53"/>
    </row>
    <row r="26" spans="1:5" ht="28.8">
      <c r="A26" s="7" t="s">
        <v>97</v>
      </c>
      <c r="B26" s="7" t="s">
        <v>72</v>
      </c>
      <c r="C26" s="7" t="s">
        <v>78</v>
      </c>
      <c r="D26" s="54"/>
      <c r="E26" s="54"/>
    </row>
    <row r="27" spans="1:5">
      <c r="A27" s="10" t="s">
        <v>16</v>
      </c>
      <c r="B27" s="11">
        <v>750961</v>
      </c>
      <c r="C27" s="11">
        <v>731709</v>
      </c>
      <c r="D27" s="55"/>
      <c r="E27" s="56"/>
    </row>
    <row r="28" spans="1:5">
      <c r="A28" s="10" t="s">
        <v>25</v>
      </c>
      <c r="B28" s="11">
        <v>30167</v>
      </c>
      <c r="C28" s="11">
        <v>31094</v>
      </c>
      <c r="D28" s="55"/>
      <c r="E28" s="56"/>
    </row>
    <row r="29" spans="1:5">
      <c r="A29" s="10" t="s">
        <v>89</v>
      </c>
      <c r="B29" s="11">
        <v>21852</v>
      </c>
      <c r="C29" s="11">
        <v>22027</v>
      </c>
      <c r="D29" s="55"/>
      <c r="E29" s="56"/>
    </row>
    <row r="30" spans="1:5">
      <c r="A30" s="10" t="s">
        <v>49</v>
      </c>
      <c r="B30" s="11">
        <v>15770</v>
      </c>
      <c r="C30" s="11">
        <v>9170</v>
      </c>
      <c r="D30" s="55"/>
      <c r="E30" s="56"/>
    </row>
    <row r="31" spans="1:5">
      <c r="A31" s="55"/>
      <c r="B31" s="56"/>
      <c r="C31" s="56"/>
      <c r="D31" s="57"/>
      <c r="E31" s="47"/>
    </row>
    <row r="32" spans="1:5">
      <c r="A32" s="55"/>
      <c r="B32" s="59"/>
      <c r="C32" s="59"/>
      <c r="D32" s="58"/>
      <c r="E32" s="47"/>
    </row>
    <row r="33" spans="1:5">
      <c r="A33" s="55"/>
      <c r="B33" s="59"/>
      <c r="C33" s="59"/>
      <c r="D33" s="58"/>
      <c r="E33" s="47"/>
    </row>
    <row r="34" spans="1:5">
      <c r="A34" s="55"/>
      <c r="B34" s="59"/>
      <c r="C34" s="59"/>
      <c r="D34" s="58"/>
      <c r="E34" s="47"/>
    </row>
    <row r="35" spans="1:5" ht="10.050000000000001" customHeight="1">
      <c r="A35" s="64" t="s">
        <v>98</v>
      </c>
      <c r="B35" s="64"/>
      <c r="C35" s="64"/>
      <c r="D35" s="64"/>
      <c r="E35" s="47"/>
    </row>
    <row r="36" spans="1:5" ht="10.050000000000001" customHeight="1">
      <c r="A36" s="64"/>
      <c r="B36" s="64"/>
      <c r="C36" s="64"/>
      <c r="D36" s="64"/>
      <c r="E36" s="47"/>
    </row>
    <row r="37" spans="1:5" ht="10.050000000000001" customHeight="1">
      <c r="A37" s="64"/>
      <c r="B37" s="64"/>
      <c r="C37" s="64"/>
      <c r="D37" s="64"/>
      <c r="E37" s="47"/>
    </row>
    <row r="38" spans="1:5" ht="10.050000000000001" customHeight="1">
      <c r="A38" s="64"/>
      <c r="B38" s="64"/>
      <c r="C38" s="64"/>
      <c r="D38" s="64"/>
    </row>
    <row r="39" spans="1:5" ht="28.8">
      <c r="A39" s="7" t="s">
        <v>97</v>
      </c>
      <c r="B39" s="7" t="s">
        <v>72</v>
      </c>
      <c r="C39" s="7" t="s">
        <v>78</v>
      </c>
      <c r="D39" s="8" t="s">
        <v>99</v>
      </c>
    </row>
    <row r="40" spans="1:5">
      <c r="A40" s="10" t="s">
        <v>21</v>
      </c>
      <c r="B40" s="27">
        <v>0.23899999999999999</v>
      </c>
      <c r="C40" s="27">
        <v>0.24010000000000001</v>
      </c>
      <c r="D40" s="12">
        <v>11</v>
      </c>
    </row>
    <row r="41" spans="1:5">
      <c r="A41" s="10" t="s">
        <v>24</v>
      </c>
      <c r="B41" s="27">
        <v>0.20799999999999999</v>
      </c>
      <c r="C41" s="27">
        <v>0.2089</v>
      </c>
      <c r="D41" s="12">
        <v>9</v>
      </c>
    </row>
    <row r="42" spans="1:5">
      <c r="A42" s="10" t="s">
        <v>26</v>
      </c>
      <c r="B42" s="27">
        <v>0.04</v>
      </c>
      <c r="C42" s="27">
        <v>4.2500000000000003E-2</v>
      </c>
      <c r="D42" s="12">
        <v>25</v>
      </c>
    </row>
    <row r="43" spans="1:5">
      <c r="A43" s="10" t="s">
        <v>40</v>
      </c>
      <c r="B43" s="27">
        <v>2.9100000000000001E-2</v>
      </c>
      <c r="C43" s="27">
        <v>3.0099999999999998E-2</v>
      </c>
      <c r="D43" s="12">
        <v>10</v>
      </c>
    </row>
    <row r="44" spans="1:5">
      <c r="A44" s="10" t="s">
        <v>51</v>
      </c>
      <c r="B44" s="50">
        <v>2.1000000000000001E-2</v>
      </c>
      <c r="C44" s="50">
        <v>1.2500000000000001E-2</v>
      </c>
      <c r="D44" s="12">
        <v>-85</v>
      </c>
    </row>
    <row r="49" spans="1:6" ht="10.050000000000001" customHeight="1">
      <c r="A49" s="64" t="s">
        <v>100</v>
      </c>
      <c r="B49" s="64"/>
      <c r="C49" s="64"/>
      <c r="D49" s="64"/>
    </row>
    <row r="50" spans="1:6" ht="10.050000000000001" customHeight="1">
      <c r="A50" s="64"/>
      <c r="B50" s="64"/>
      <c r="C50" s="64"/>
      <c r="D50" s="64"/>
    </row>
    <row r="51" spans="1:6" ht="10.050000000000001" customHeight="1">
      <c r="A51" s="64"/>
      <c r="B51" s="64"/>
      <c r="C51" s="64"/>
      <c r="D51" s="64"/>
    </row>
    <row r="52" spans="1:6" ht="10.050000000000001" customHeight="1">
      <c r="A52" s="64"/>
      <c r="B52" s="64"/>
      <c r="C52" s="64"/>
      <c r="D52" s="64"/>
    </row>
    <row r="53" spans="1:6" ht="28.8">
      <c r="A53" s="7" t="s">
        <v>70</v>
      </c>
      <c r="B53" s="7" t="s">
        <v>101</v>
      </c>
      <c r="C53" s="7" t="s">
        <v>102</v>
      </c>
      <c r="D53" s="7" t="s">
        <v>103</v>
      </c>
      <c r="F53" s="63"/>
    </row>
    <row r="54" spans="1:6">
      <c r="A54" s="10" t="s">
        <v>14</v>
      </c>
      <c r="B54" s="51">
        <v>-20653</v>
      </c>
      <c r="C54" s="27" t="s">
        <v>87</v>
      </c>
      <c r="D54" s="12" t="s">
        <v>104</v>
      </c>
    </row>
    <row r="55" spans="1:6">
      <c r="A55" s="10" t="s">
        <v>15</v>
      </c>
      <c r="B55" s="51">
        <v>1401</v>
      </c>
      <c r="C55" s="27" t="s">
        <v>88</v>
      </c>
      <c r="D55" s="12" t="s">
        <v>105</v>
      </c>
    </row>
    <row r="56" spans="1:6">
      <c r="A56" s="10" t="s">
        <v>106</v>
      </c>
      <c r="B56" s="60" t="s">
        <v>90</v>
      </c>
      <c r="C56" s="27" t="s">
        <v>88</v>
      </c>
      <c r="D56" s="12" t="s">
        <v>107</v>
      </c>
    </row>
    <row r="57" spans="1:6">
      <c r="A57" s="10" t="s">
        <v>24</v>
      </c>
      <c r="B57" s="60" t="s">
        <v>91</v>
      </c>
      <c r="C57" s="27" t="s">
        <v>87</v>
      </c>
      <c r="D57" s="12" t="s">
        <v>108</v>
      </c>
    </row>
    <row r="58" spans="1:6">
      <c r="A58" s="10" t="s">
        <v>25</v>
      </c>
      <c r="B58" s="51">
        <v>927</v>
      </c>
      <c r="C58" s="50" t="s">
        <v>88</v>
      </c>
      <c r="D58" s="12" t="s">
        <v>109</v>
      </c>
    </row>
    <row r="59" spans="1:6">
      <c r="A59" s="10" t="s">
        <v>110</v>
      </c>
      <c r="B59" s="52" t="s">
        <v>93</v>
      </c>
      <c r="C59" s="12" t="s">
        <v>88</v>
      </c>
      <c r="D59" s="12" t="s">
        <v>111</v>
      </c>
      <c r="E59" s="47"/>
      <c r="F59" s="63"/>
    </row>
    <row r="60" spans="1:6">
      <c r="A60" s="10" t="s">
        <v>49</v>
      </c>
      <c r="B60" s="51">
        <v>-6600</v>
      </c>
      <c r="C60" s="12" t="s">
        <v>87</v>
      </c>
      <c r="D60" s="12" t="s">
        <v>112</v>
      </c>
      <c r="E60" s="47"/>
    </row>
    <row r="64" spans="1:6" ht="16.2" customHeight="1"/>
  </sheetData>
  <mergeCells count="5">
    <mergeCell ref="A49:D52"/>
    <mergeCell ref="A1:C1"/>
    <mergeCell ref="A5:E6"/>
    <mergeCell ref="A22:C25"/>
    <mergeCell ref="A35:D3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067BE-DDF8-4205-A29C-F64180F44B05}">
  <dimension ref="A1:I13"/>
  <sheetViews>
    <sheetView tabSelected="1" workbookViewId="0">
      <selection activeCell="A18" sqref="A18"/>
    </sheetView>
  </sheetViews>
  <sheetFormatPr defaultRowHeight="14.4"/>
  <cols>
    <col min="1" max="1" width="14" customWidth="1"/>
    <col min="2" max="2" width="17.88671875" bestFit="1" customWidth="1"/>
    <col min="3" max="3" width="12.33203125" customWidth="1"/>
    <col min="4" max="4" width="8.77734375" bestFit="1" customWidth="1"/>
    <col min="5" max="5" width="18.88671875" customWidth="1"/>
    <col min="6" max="6" width="22.6640625" customWidth="1"/>
    <col min="7" max="7" width="23.109375" customWidth="1"/>
    <col min="8" max="8" width="16.44140625" customWidth="1"/>
    <col min="9" max="9" width="11.109375" bestFit="1" customWidth="1"/>
  </cols>
  <sheetData>
    <row r="1" spans="1:9" ht="18">
      <c r="A1" s="69" t="s">
        <v>113</v>
      </c>
      <c r="B1" s="69" t="s">
        <v>85</v>
      </c>
      <c r="C1" s="69" t="s">
        <v>114</v>
      </c>
      <c r="D1" s="69" t="s">
        <v>115</v>
      </c>
      <c r="E1" s="69" t="s">
        <v>72</v>
      </c>
      <c r="F1" s="69" t="s">
        <v>78</v>
      </c>
      <c r="G1" s="69" t="s">
        <v>82</v>
      </c>
      <c r="H1" s="69" t="s">
        <v>99</v>
      </c>
      <c r="I1" s="69" t="s">
        <v>86</v>
      </c>
    </row>
    <row r="2" spans="1:9" s="72" customFormat="1">
      <c r="A2" s="70">
        <v>1</v>
      </c>
      <c r="B2" s="70" t="s">
        <v>16</v>
      </c>
      <c r="C2" s="70" t="s">
        <v>13</v>
      </c>
      <c r="D2" s="70" t="s">
        <v>116</v>
      </c>
      <c r="E2" s="71">
        <v>750961</v>
      </c>
      <c r="F2" s="71">
        <v>731709</v>
      </c>
      <c r="G2" s="71">
        <v>-19252</v>
      </c>
      <c r="H2" s="71"/>
      <c r="I2" s="71" t="s">
        <v>87</v>
      </c>
    </row>
    <row r="3" spans="1:9">
      <c r="A3" s="73">
        <v>2</v>
      </c>
      <c r="B3" s="73" t="s">
        <v>14</v>
      </c>
      <c r="C3" s="73" t="s">
        <v>13</v>
      </c>
      <c r="D3" s="73" t="s">
        <v>116</v>
      </c>
      <c r="E3" s="11">
        <v>743853</v>
      </c>
      <c r="F3" s="11">
        <v>723200</v>
      </c>
      <c r="G3" s="11">
        <v>-20653</v>
      </c>
      <c r="H3" s="11"/>
      <c r="I3" s="11" t="s">
        <v>87</v>
      </c>
    </row>
    <row r="4" spans="1:9" s="72" customFormat="1">
      <c r="A4" s="70">
        <v>3</v>
      </c>
      <c r="B4" s="70" t="s">
        <v>20</v>
      </c>
      <c r="C4" s="70" t="s">
        <v>117</v>
      </c>
      <c r="D4" s="70" t="s">
        <v>116</v>
      </c>
      <c r="E4" s="71">
        <v>177781</v>
      </c>
      <c r="F4" s="71">
        <v>173662</v>
      </c>
      <c r="G4" s="71">
        <v>-4119</v>
      </c>
      <c r="H4" s="71"/>
      <c r="I4" s="71" t="s">
        <v>87</v>
      </c>
    </row>
    <row r="5" spans="1:9" s="72" customFormat="1">
      <c r="A5" s="73">
        <v>4</v>
      </c>
      <c r="B5" s="73" t="s">
        <v>25</v>
      </c>
      <c r="C5" s="73" t="s">
        <v>117</v>
      </c>
      <c r="D5" s="73" t="s">
        <v>116</v>
      </c>
      <c r="E5" s="11">
        <v>30167</v>
      </c>
      <c r="F5" s="11">
        <v>31094</v>
      </c>
      <c r="G5" s="11">
        <v>927</v>
      </c>
      <c r="H5" s="11"/>
      <c r="I5" s="11" t="s">
        <v>88</v>
      </c>
    </row>
    <row r="6" spans="1:9" s="72" customFormat="1">
      <c r="A6" s="70">
        <v>5</v>
      </c>
      <c r="B6" s="70" t="s">
        <v>89</v>
      </c>
      <c r="C6" s="70" t="s">
        <v>117</v>
      </c>
      <c r="D6" s="70" t="s">
        <v>116</v>
      </c>
      <c r="E6" s="71">
        <v>21852</v>
      </c>
      <c r="F6" s="71">
        <v>22027</v>
      </c>
      <c r="G6" s="71">
        <v>175</v>
      </c>
      <c r="H6" s="71"/>
      <c r="I6" s="71" t="s">
        <v>88</v>
      </c>
    </row>
    <row r="7" spans="1:9" s="72" customFormat="1">
      <c r="A7" s="73">
        <v>6</v>
      </c>
      <c r="B7" s="73" t="s">
        <v>49</v>
      </c>
      <c r="C7" s="73" t="s">
        <v>73</v>
      </c>
      <c r="D7" s="73" t="s">
        <v>116</v>
      </c>
      <c r="E7" s="11">
        <v>15770</v>
      </c>
      <c r="F7" s="11">
        <v>9170</v>
      </c>
      <c r="G7" s="11">
        <v>-6600</v>
      </c>
      <c r="H7" s="11"/>
      <c r="I7" s="11" t="s">
        <v>87</v>
      </c>
    </row>
    <row r="8" spans="1:9" s="76" customFormat="1">
      <c r="A8" s="79">
        <v>7</v>
      </c>
      <c r="B8" s="74" t="s">
        <v>21</v>
      </c>
      <c r="C8" s="74" t="s">
        <v>118</v>
      </c>
      <c r="D8" s="74" t="s">
        <v>119</v>
      </c>
      <c r="E8" s="81">
        <v>0.23899999999999999</v>
      </c>
      <c r="F8" s="81">
        <v>0.24010000000000001</v>
      </c>
      <c r="G8" s="81">
        <v>1.1000000000000001E-3</v>
      </c>
      <c r="H8" s="71">
        <v>11</v>
      </c>
      <c r="I8" s="75" t="s">
        <v>88</v>
      </c>
    </row>
    <row r="9" spans="1:9" s="76" customFormat="1">
      <c r="A9" s="80">
        <v>8</v>
      </c>
      <c r="B9" s="77" t="s">
        <v>24</v>
      </c>
      <c r="C9" s="77" t="s">
        <v>118</v>
      </c>
      <c r="D9" s="77" t="s">
        <v>119</v>
      </c>
      <c r="E9" s="27">
        <v>0.20799999999999999</v>
      </c>
      <c r="F9" s="27">
        <v>0.2089</v>
      </c>
      <c r="G9" s="27">
        <v>8.9999999999999998E-4</v>
      </c>
      <c r="H9" s="11">
        <v>9</v>
      </c>
      <c r="I9" s="78" t="s">
        <v>87</v>
      </c>
    </row>
    <row r="10" spans="1:9" s="76" customFormat="1">
      <c r="A10" s="79">
        <v>9</v>
      </c>
      <c r="B10" s="74" t="s">
        <v>26</v>
      </c>
      <c r="C10" s="74" t="s">
        <v>118</v>
      </c>
      <c r="D10" s="74" t="s">
        <v>119</v>
      </c>
      <c r="E10" s="81">
        <v>0.04</v>
      </c>
      <c r="F10" s="81">
        <v>4.2500000000000003E-2</v>
      </c>
      <c r="G10" s="81">
        <v>2.5000000000000001E-3</v>
      </c>
      <c r="H10" s="71">
        <v>25</v>
      </c>
      <c r="I10" s="75" t="s">
        <v>88</v>
      </c>
    </row>
    <row r="11" spans="1:9" s="76" customFormat="1">
      <c r="A11" s="80">
        <v>10</v>
      </c>
      <c r="B11" s="77" t="s">
        <v>40</v>
      </c>
      <c r="C11" s="77" t="s">
        <v>118</v>
      </c>
      <c r="D11" s="77" t="s">
        <v>119</v>
      </c>
      <c r="E11" s="27">
        <v>2.9100000000000001E-2</v>
      </c>
      <c r="F11" s="27">
        <v>3.0099999999999998E-2</v>
      </c>
      <c r="G11" s="27">
        <v>1E-3</v>
      </c>
      <c r="H11" s="11">
        <v>10</v>
      </c>
      <c r="I11" s="78" t="s">
        <v>88</v>
      </c>
    </row>
    <row r="12" spans="1:9" s="76" customFormat="1">
      <c r="A12" s="79">
        <v>11</v>
      </c>
      <c r="B12" s="74" t="s">
        <v>51</v>
      </c>
      <c r="C12" s="74" t="s">
        <v>118</v>
      </c>
      <c r="D12" s="74" t="s">
        <v>119</v>
      </c>
      <c r="E12" s="81">
        <v>2.1000000000000001E-2</v>
      </c>
      <c r="F12" s="81">
        <v>1.2500000000000001E-2</v>
      </c>
      <c r="G12" s="81">
        <v>-8.5000000000000006E-3</v>
      </c>
      <c r="H12" s="71">
        <v>-85</v>
      </c>
      <c r="I12" s="75" t="s">
        <v>87</v>
      </c>
    </row>
    <row r="13" spans="1:9" s="76" customFormat="1">
      <c r="A13" s="80">
        <v>12</v>
      </c>
      <c r="B13" s="77" t="s">
        <v>36</v>
      </c>
      <c r="C13" s="77" t="s">
        <v>120</v>
      </c>
      <c r="D13" s="77" t="s">
        <v>119</v>
      </c>
      <c r="E13" s="27">
        <v>0.26700000000000002</v>
      </c>
      <c r="F13" s="27">
        <v>0.25330000000000003</v>
      </c>
      <c r="G13" s="27">
        <v>-1.37E-2</v>
      </c>
      <c r="H13" s="11">
        <v>-137</v>
      </c>
      <c r="I13" s="78" t="s">
        <v>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Historicals </vt:lpstr>
      <vt:lpstr>Assumptions</vt:lpstr>
      <vt:lpstr>Budget</vt:lpstr>
      <vt:lpstr>Budget Variance Analysis</vt:lpstr>
      <vt:lpstr>Reforecast</vt:lpstr>
      <vt:lpstr>KPI Dashboard</vt:lpstr>
      <vt:lpstr>Power BI 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hilal berhe</dc:creator>
  <cp:lastModifiedBy>hilal berhe</cp:lastModifiedBy>
  <dcterms:created xsi:type="dcterms:W3CDTF">2026-06-26T14:07:28Z</dcterms:created>
  <dcterms:modified xsi:type="dcterms:W3CDTF">2026-07-01T18:46:05Z</dcterms:modified>
</cp:coreProperties>
</file>